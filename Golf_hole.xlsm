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dore\Documents\GitHub\golf\"/>
    </mc:Choice>
  </mc:AlternateContent>
  <xr:revisionPtr revIDLastSave="0" documentId="13_ncr:1_{61506841-435D-463A-BB2E-F9C7271FF4B4}" xr6:coauthVersionLast="40" xr6:coauthVersionMax="40" xr10:uidLastSave="{00000000-0000-0000-0000-000000000000}"/>
  <bookViews>
    <workbookView xWindow="240" yWindow="60" windowWidth="23580" windowHeight="10110" xr2:uid="{00000000-000D-0000-FFFF-FFFF00000000}"/>
  </bookViews>
  <sheets>
    <sheet name="Feuil1" sheetId="1" r:id="rId1"/>
    <sheet name="golf.club" sheetId="3" r:id="rId2"/>
    <sheet name="golf.parcours" sheetId="4" r:id="rId3"/>
    <sheet name="golf.blocs" sheetId="5" r:id="rId4"/>
    <sheet name="blocs" sheetId="6" r:id="rId5"/>
  </sheets>
  <calcPr calcId="181029"/>
  <fileRecoveryPr autoRecover="0"/>
</workbook>
</file>

<file path=xl/calcChain.xml><?xml version="1.0" encoding="utf-8"?>
<calcChain xmlns="http://schemas.openxmlformats.org/spreadsheetml/2006/main">
  <c r="W50" i="1" l="1"/>
  <c r="M50" i="1"/>
  <c r="W48" i="1"/>
  <c r="W51" i="1"/>
  <c r="W52" i="1"/>
  <c r="W53" i="1"/>
  <c r="W54" i="1"/>
  <c r="W47" i="1"/>
  <c r="M48" i="1"/>
  <c r="M51" i="1"/>
  <c r="M52" i="1"/>
  <c r="M53" i="1"/>
  <c r="X53" i="1" s="1"/>
  <c r="M54" i="1"/>
  <c r="M47" i="1"/>
  <c r="X52" i="1" l="1"/>
  <c r="X47" i="1"/>
  <c r="X51" i="1"/>
  <c r="X54" i="1"/>
  <c r="X50" i="1"/>
  <c r="X48" i="1"/>
  <c r="W27" i="1"/>
  <c r="M27" i="1"/>
  <c r="W29" i="1"/>
  <c r="W30" i="1"/>
  <c r="W32" i="1"/>
  <c r="W33" i="1"/>
  <c r="M33" i="1"/>
  <c r="M29" i="1"/>
  <c r="M30" i="1"/>
  <c r="M32" i="1"/>
  <c r="W28" i="1"/>
  <c r="M28" i="1"/>
  <c r="X27" i="1" l="1"/>
  <c r="X28" i="1"/>
  <c r="X30" i="1"/>
  <c r="X29" i="1"/>
  <c r="X33" i="1"/>
  <c r="X32" i="1"/>
</calcChain>
</file>

<file path=xl/sharedStrings.xml><?xml version="1.0" encoding="utf-8"?>
<sst xmlns="http://schemas.openxmlformats.org/spreadsheetml/2006/main" count="225" uniqueCount="155">
  <si>
    <t>Trou</t>
  </si>
  <si>
    <t>Aller</t>
  </si>
  <si>
    <t>Retour</t>
  </si>
  <si>
    <t>Total</t>
  </si>
  <si>
    <t>Éval.</t>
  </si>
  <si>
    <t>Slope</t>
  </si>
  <si>
    <t>Normale</t>
  </si>
  <si>
    <t>Blanc</t>
  </si>
  <si>
    <t>Bleu</t>
  </si>
  <si>
    <t>Rouge</t>
  </si>
  <si>
    <t>Vert</t>
  </si>
  <si>
    <t>Noir</t>
  </si>
  <si>
    <t>H:66.0</t>
  </si>
  <si>
    <t>F:71.7</t>
  </si>
  <si>
    <t>H:114</t>
  </si>
  <si>
    <t>F:124</t>
  </si>
  <si>
    <t>Out</t>
  </si>
  <si>
    <t>In</t>
  </si>
  <si>
    <t>Or</t>
  </si>
  <si>
    <t>Hdcp</t>
  </si>
  <si>
    <t>Tee</t>
  </si>
  <si>
    <t>_id</t>
  </si>
  <si>
    <t>nom</t>
  </si>
  <si>
    <t>"Baie Comeau"</t>
  </si>
  <si>
    <t>url_club</t>
  </si>
  <si>
    <t>"http://golfbaiecomeau.ca/"</t>
  </si>
  <si>
    <t>prive</t>
  </si>
  <si>
    <t>false</t>
  </si>
  <si>
    <t>depuis</t>
  </si>
  <si>
    <t>municipal</t>
  </si>
  <si>
    <t>url_ville</t>
  </si>
  <si>
    <t>"http://ville.baie-comeau.qc.ca/"</t>
  </si>
  <si>
    <t>telephone</t>
  </si>
  <si>
    <t>"418-295-1819"</t>
  </si>
  <si>
    <t>telephone2</t>
  </si>
  <si>
    <t>telephone3</t>
  </si>
  <si>
    <t>adresse</t>
  </si>
  <si>
    <t>"1700, rue de Bretagne"</t>
  </si>
  <si>
    <t>codepostal2</t>
  </si>
  <si>
    <t>"G5C 3S3"</t>
  </si>
  <si>
    <t>region</t>
  </si>
  <si>
    <t>codepostal</t>
  </si>
  <si>
    <t>"G5C3S3"</t>
  </si>
  <si>
    <t>longitude</t>
  </si>
  <si>
    <t>-68.259108</t>
  </si>
  <si>
    <t>latitude</t>
  </si>
  <si>
    <t>49.204834</t>
  </si>
  <si>
    <t>location</t>
  </si>
  <si>
    <t>courses</t>
  </si>
  <si>
    <t>select max value</t>
  </si>
  <si>
    <t>db.club.find({}).sort({"_id":-1}).limit(1)</t>
  </si>
  <si>
    <t>""</t>
  </si>
  <si>
    <t>CLUB_ID</t>
  </si>
  <si>
    <t>POINTS</t>
  </si>
  <si>
    <t>PARCOURS</t>
  </si>
  <si>
    <t>DEPUIS</t>
  </si>
  <si>
    <t>TROUS</t>
  </si>
  <si>
    <t>NORMALE</t>
  </si>
  <si>
    <t>VERGES</t>
  </si>
  <si>
    <t>db.parcours.find({}).sort({"_id":-1}).limit(1)</t>
  </si>
  <si>
    <t>//Add field Courses from Parcours</t>
  </si>
  <si>
    <t>function addParc(){</t>
  </si>
  <si>
    <t xml:space="preserve">    db.club.find().forEach(function(doc){</t>
  </si>
  <si>
    <t xml:space="preserve">         db.club.update({_id:doc._id}, {$set:{"courses": db.parcours.find({CLUB_ID: doc._id}).toArray() }});</t>
  </si>
  <si>
    <t xml:space="preserve">    });</t>
  </si>
  <si>
    <t>};</t>
  </si>
  <si>
    <t>addParc()</t>
  </si>
  <si>
    <t>// Add Geo lat, lng</t>
  </si>
  <si>
    <t>function addLoc(){</t>
  </si>
  <si>
    <t>addLoc()</t>
  </si>
  <si>
    <t>PARCOURS_ID</t>
  </si>
  <si>
    <t>Bloc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</si>
  <si>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</si>
  <si>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</si>
  <si>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</si>
  <si>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</si>
  <si>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</si>
  <si>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</si>
  <si>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</si>
  <si>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</si>
  <si>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</si>
  <si>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</si>
  <si>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</si>
  <si>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</si>
  <si>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</si>
  <si>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</si>
  <si>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</si>
  <si>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</si>
  <si>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</si>
  <si>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</si>
  <si>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Eval</t>
  </si>
  <si>
    <t>Start 12</t>
  </si>
  <si>
    <t>https://docs.mongodb.com/v3.4/tutorial/store-javascript-function-on-server/</t>
  </si>
  <si>
    <t>db.system.js.save(</t>
  </si>
  <si>
    <t xml:space="preserve">   {</t>
  </si>
  <si>
    <t xml:space="preserve">     _id : "addParc" ,</t>
  </si>
  <si>
    <t xml:space="preserve">     value : function (){ db.club.find().forEach(function(doc){</t>
  </si>
  <si>
    <t xml:space="preserve">    }); }</t>
  </si>
  <si>
    <t xml:space="preserve">   }</t>
  </si>
  <si>
    <t>);</t>
  </si>
  <si>
    <t>db.loadServerScripts();</t>
  </si>
  <si>
    <t xml:space="preserve">     _id : "addGPS" ,</t>
  </si>
  <si>
    <t xml:space="preserve">     value : function (parcID){ </t>
  </si>
  <si>
    <t>if (parcID){</t>
  </si>
  <si>
    <t xml:space="preserve"> db.parcours.find({_id:parcID}).forEach(function(doc){</t>
  </si>
  <si>
    <t>checkGPS(doc);</t>
  </si>
  <si>
    <t xml:space="preserve">}); </t>
  </si>
  <si>
    <t>}else{</t>
  </si>
  <si>
    <t xml:space="preserve"> db.parcours.find().forEach(function(doc){</t>
  </si>
  <si>
    <t>});</t>
  </si>
  <si>
    <t>}</t>
  </si>
  <si>
    <t>function checkGPS(doc){</t>
  </si>
  <si>
    <t xml:space="preserve">   var id = doc._id;</t>
  </si>
  <si>
    <t xml:space="preserve">   var gps = db.golfGPS.find({"Parcours_id": id }).toArray();</t>
  </si>
  <si>
    <t>if (gps.length &gt; 0){</t>
  </si>
  <si>
    <t xml:space="preserve"> db.parcours.update({_id:id}, {$set:{"GPS": true }});</t>
  </si>
  <si>
    <t xml:space="preserve"> db.parcours.update({_id:id}, {$set:{"GPS": false }});</t>
  </si>
  <si>
    <t>addGPS()</t>
  </si>
  <si>
    <t>"E"</t>
  </si>
  <si>
    <t>"53900"</t>
  </si>
  <si>
    <t>"52 55 5589 1200"</t>
  </si>
  <si>
    <t>"https://www.pgatour.com/tournaments/wgc-mexico-championship/en/course.html"</t>
  </si>
  <si>
    <t>"Av. del Conscripto 425, Lomas Hipodromo"</t>
  </si>
  <si>
    <t>"Mexico, Mexique"</t>
  </si>
  <si>
    <t>19.4344868</t>
  </si>
  <si>
    <t>-99.23859</t>
  </si>
  <si>
    <t>db.parcours.insert({_id:597,CLUB_ID:532,POINTS:"",PARCOURS:"",DEPUIS:1960,TROUS:18,NORMALE:71,VERGES:7276})</t>
  </si>
  <si>
    <t xml:space="preserve">         db.club.update({_id:doc._id}, {$set:{"location": {type: "Point", coordinates: [ doc.longitude, doc.latitude ]} }});</t>
  </si>
  <si>
    <t>"Chapultepec"</t>
  </si>
  <si>
    <t>db.club.insert({_id:532,nom:"Chapultepec",url_club:"https://www.pgatour.com/tournaments/wgc-mexico-championship/en/course.html",prive:false,depuis:1960,municipal:"Mexico, Mexique",url_ville:"",telephone:"52 55 5589 1200",telephone2:"",telephone3:"",adresse:"Av. del Conscripto 425, Lomas Hipodromo",codepostal2:"53900",region:18,codepostal:"53900",longitude:-99.23859,latitude:19.4344868,location:{},courses:[{}]})</t>
  </si>
  <si>
    <t>db.blocs.insert({PARCOURS_ID:597,Bloc:"Or",T1:316,T2:387,T3:186,T4:506,T5:445,T6:625,T7:235,T8:525,T9:328,Aller:3553,T10:450,T11:622,T12:406,T13:225,T14:482,T15:575,T16:403,T17:172,T18:388,Retour:3723,Total:7276,Eval:"",Slope:""})</t>
  </si>
  <si>
    <t>db.blocs.insert({PARCOURS_ID:597,Bloc:"Normale",T1:4,T2:4,T3:3,T4:4,T5:4,T6:5,T7:3,T8:4,T9:4,Aller:35,T10:4,T11:5,T12:4,T13:3,T14:4,T15:5,T16:4,T17:3,T18:4,Retour:36,Total:71,Eval:"",Slope:""})</t>
  </si>
  <si>
    <t>db.blocs.insert({PARCOURS_ID:597,Bloc:"Hdcp",T1:1,T2:2,T3:3,T4:4,T5:5,T6:6,T7:7,T8:8,T9:9,Aller:null,T10:10,T11:11,T12:12,T13:13,T14:14,T15:15,T16:16,T17:17,T18:18,Retour:0,Total:0,Eval:"",Slope:""})</t>
  </si>
  <si>
    <t>Torrey Pines Golf Course (North) Scorecard</t>
  </si>
  <si>
    <t>Tees</t>
  </si>
  <si>
    <t>Par</t>
  </si>
  <si>
    <t>Rating</t>
  </si>
  <si>
    <t>Yardage</t>
  </si>
  <si>
    <t>Black</t>
  </si>
  <si>
    <t>75.3</t>
  </si>
  <si>
    <t>Taupe</t>
  </si>
  <si>
    <t>73.2</t>
  </si>
  <si>
    <t>Green</t>
  </si>
  <si>
    <t>71.2</t>
  </si>
  <si>
    <t>Gold</t>
  </si>
  <si>
    <t>68.9</t>
  </si>
  <si>
    <t>Silver</t>
  </si>
  <si>
    <t>65.6</t>
  </si>
  <si>
    <t>Green - Ladies</t>
  </si>
  <si>
    <t>77.3</t>
  </si>
  <si>
    <t>Gold - Ladies</t>
  </si>
  <si>
    <t>74.5</t>
  </si>
  <si>
    <t>Front</t>
  </si>
  <si>
    <t>Bronze</t>
  </si>
  <si>
    <t>Argent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</si>
</sst>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7.5"/>
      <color theme="1"/>
      <name val="Verdana"/>
      <family val="2"/>
    </font>
    <font>
      <b/>
      <sz val="7.5"/>
      <color rgb="FFFFFFFF"/>
      <name val="Verdana"/>
      <family val="2"/>
    </font>
    <font>
      <sz val="10"/>
      <color theme="1"/>
      <name val="Verdana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7.5"/>
      <color theme="1"/>
      <name val="Arial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b/>
      <sz val="8"/>
      <color rgb="FF494747"/>
      <name val="Consolas"/>
      <family val="3"/>
    </font>
    <font>
      <sz val="8"/>
      <color rgb="FF4682B4"/>
      <name val="Consolas"/>
      <family val="3"/>
    </font>
    <font>
      <sz val="8"/>
      <color rgb="FF800080"/>
      <name val="Consolas"/>
      <family val="3"/>
    </font>
    <font>
      <sz val="8"/>
      <color rgb="FF145A32"/>
      <name val="Consolas"/>
      <family val="3"/>
    </font>
    <font>
      <sz val="8"/>
      <color rgb="FF1E8449"/>
      <name val="Consolas"/>
      <family val="3"/>
    </font>
    <font>
      <sz val="11"/>
      <color theme="3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3F2E9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BB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DDDDDD"/>
        <bgColor indexed="64"/>
      </patternFill>
    </fill>
  </fills>
  <borders count="5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 style="thin">
        <color rgb="FFC0C0C0"/>
      </bottom>
      <diagonal/>
    </border>
    <border>
      <left/>
      <right style="thin">
        <color rgb="FFC0C0C0"/>
      </right>
      <top/>
      <bottom style="thin">
        <color rgb="FFC0C0C0"/>
      </bottom>
      <diagonal/>
    </border>
    <border>
      <left/>
      <right/>
      <top/>
      <bottom style="thick">
        <color rgb="FF000000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57">
    <xf numFmtId="0" fontId="0" fillId="0" borderId="0" xfId="0"/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 wrapText="1"/>
    </xf>
    <xf numFmtId="0" fontId="0" fillId="2" borderId="0" xfId="0" applyFill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wrapText="1"/>
    </xf>
    <xf numFmtId="0" fontId="0" fillId="3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3" fillId="3" borderId="0" xfId="0" applyFont="1" applyFill="1" applyAlignment="1">
      <alignment horizontal="center" wrapText="1"/>
    </xf>
    <xf numFmtId="0" fontId="2" fillId="7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wrapText="1"/>
    </xf>
    <xf numFmtId="0" fontId="0" fillId="8" borderId="0" xfId="0" applyFill="1"/>
    <xf numFmtId="0" fontId="7" fillId="2" borderId="1" xfId="0" applyFont="1" applyFill="1" applyBorder="1" applyAlignment="1">
      <alignment horizontal="center" wrapText="1"/>
    </xf>
    <xf numFmtId="0" fontId="8" fillId="2" borderId="1" xfId="0" applyFont="1" applyFill="1" applyBorder="1" applyAlignment="1">
      <alignment horizontal="center" wrapText="1"/>
    </xf>
    <xf numFmtId="0" fontId="0" fillId="8" borderId="2" xfId="0" applyFill="1" applyBorder="1"/>
    <xf numFmtId="0" fontId="0" fillId="8" borderId="3" xfId="0" applyFill="1" applyBorder="1"/>
    <xf numFmtId="0" fontId="7" fillId="9" borderId="1" xfId="0" applyFont="1" applyFill="1" applyBorder="1" applyAlignment="1">
      <alignment horizontal="center" wrapText="1"/>
    </xf>
    <xf numFmtId="0" fontId="8" fillId="9" borderId="1" xfId="0" applyFont="1" applyFill="1" applyBorder="1" applyAlignment="1">
      <alignment horizontal="center" wrapText="1"/>
    </xf>
    <xf numFmtId="0" fontId="9" fillId="3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wrapText="1"/>
    </xf>
    <xf numFmtId="0" fontId="9" fillId="10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0" fontId="7" fillId="11" borderId="1" xfId="0" applyFont="1" applyFill="1" applyBorder="1" applyAlignment="1">
      <alignment horizontal="center" wrapText="1"/>
    </xf>
    <xf numFmtId="0" fontId="8" fillId="11" borderId="1" xfId="0" applyFont="1" applyFill="1" applyBorder="1" applyAlignment="1">
      <alignment horizont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top" indent="2"/>
    </xf>
    <xf numFmtId="0" fontId="0" fillId="0" borderId="0" xfId="0" applyAlignment="1">
      <alignment horizontal="left"/>
    </xf>
    <xf numFmtId="0" fontId="0" fillId="0" borderId="0" xfId="0" applyAlignment="1"/>
    <xf numFmtId="0" fontId="13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6" fillId="0" borderId="0" xfId="0" applyFont="1" applyAlignment="1">
      <alignment vertical="top"/>
    </xf>
    <xf numFmtId="0" fontId="15" fillId="0" borderId="0" xfId="0" applyFont="1" applyAlignment="1">
      <alignment horizontal="left" vertical="top"/>
    </xf>
    <xf numFmtId="0" fontId="16" fillId="0" borderId="0" xfId="0" quotePrefix="1" applyFont="1" applyAlignment="1">
      <alignment vertical="top"/>
    </xf>
    <xf numFmtId="0" fontId="12" fillId="0" borderId="0" xfId="0" applyFont="1" applyAlignment="1">
      <alignment horizontal="left" vertical="top" indent="2"/>
    </xf>
    <xf numFmtId="0" fontId="13" fillId="0" borderId="0" xfId="0" applyFont="1" applyAlignment="1">
      <alignment horizontal="left" vertical="top"/>
    </xf>
    <xf numFmtId="0" fontId="0" fillId="12" borderId="0" xfId="0" applyFill="1"/>
    <xf numFmtId="0" fontId="11" fillId="0" borderId="0" xfId="0" applyFont="1"/>
    <xf numFmtId="0" fontId="17" fillId="0" borderId="0" xfId="0" applyFont="1"/>
    <xf numFmtId="0" fontId="3" fillId="0" borderId="0" xfId="0" applyFont="1"/>
    <xf numFmtId="0" fontId="20" fillId="13" borderId="0" xfId="0" applyFont="1" applyFill="1" applyAlignment="1">
      <alignment horizontal="center" vertical="center" wrapText="1"/>
    </xf>
    <xf numFmtId="0" fontId="19" fillId="0" borderId="0" xfId="1" quotePrefix="1" applyAlignment="1">
      <alignment vertical="top"/>
    </xf>
    <xf numFmtId="0" fontId="0" fillId="0" borderId="0" xfId="0" quotePrefix="1" applyAlignment="1">
      <alignment horizontal="left"/>
    </xf>
    <xf numFmtId="0" fontId="0" fillId="0" borderId="0" xfId="0" applyAlignment="1">
      <alignment vertical="center"/>
    </xf>
    <xf numFmtId="0" fontId="2" fillId="6" borderId="0" xfId="0" applyFont="1" applyFill="1" applyAlignment="1">
      <alignment horizontal="center" wrapText="1"/>
    </xf>
    <xf numFmtId="0" fontId="0" fillId="0" borderId="0" xfId="0" applyAlignment="1">
      <alignment horizontal="left" vertical="top" wrapText="1"/>
    </xf>
    <xf numFmtId="0" fontId="21" fillId="0" borderId="0" xfId="0" applyFont="1" applyAlignment="1">
      <alignment horizontal="left" vertical="center" wrapText="1"/>
    </xf>
    <xf numFmtId="0" fontId="21" fillId="0" borderId="0" xfId="0" applyFont="1" applyAlignment="1">
      <alignment horizontal="center" vertical="center" wrapText="1"/>
    </xf>
    <xf numFmtId="0" fontId="0" fillId="14" borderId="0" xfId="0" applyFill="1" applyAlignment="1">
      <alignment vertical="center" wrapText="1"/>
    </xf>
    <xf numFmtId="0" fontId="21" fillId="0" borderId="4" xfId="0" applyFont="1" applyBorder="1" applyAlignment="1">
      <alignment vertical="center" wrapText="1"/>
    </xf>
    <xf numFmtId="0" fontId="21" fillId="0" borderId="0" xfId="0" applyFont="1" applyAlignment="1">
      <alignment vertic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5" name="Picture 1" descr="http://golfeur.qc.ca/filler.gif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764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6" name="Picture 2" descr="http://golfeur.qc.ca/filler.gif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526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27" name="Picture 3" descr="http://golfeur.qc.ca/filler.gif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52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8" name="Picture 4" descr="http://golfeur.qc.ca/filler.gif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9" name="Picture 5" descr="http://golfeur.qc.ca/filler.gif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0" name="Picture 6" descr="http://golfeur.qc.ca/filler.gif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1" name="Picture 7" descr="http://golfeur.qc.ca/filler.gif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2" name="Picture 8" descr="http://golfeur.qc.ca/filler.gif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3" name="Picture 9" descr="http://golfeur.qc.ca/filler.gif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34" name="Picture 10" descr="http://golfeur.qc.ca/filler.gif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35" name="Picture 11" descr="http://golfeur.qc.ca/filler.gif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6" name="Picture 12" descr="http://golfeur.qc.ca/filler.gif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7" name="Picture 13" descr="http://golfeur.qc.ca/filler.gif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8" name="Picture 14" descr="http://golfeur.qc.ca/filler.gif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9" name="Picture 15" descr="http://golfeur.qc.ca/filler.gif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40" name="Picture 16" descr="http://golfeur.qc.ca/filler.gif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41" name="Picture 17" descr="http://golfeur.qc.ca/filler.gif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2" name="Picture 18" descr="http://golfeur.qc.ca/filler.gif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3" name="Picture 19" descr="http://golfeur.qc.ca/filler.gif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4" name="Picture 20" descr="http://golfeur.qc.ca/filler.gif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5" name="Picture 21" descr="http://golfeur.qc.ca/filler.gif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46" name="Picture 22" descr="http://golfeur.qc.ca/filler.gif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7" name="Picture 23" descr="http://golfeur.qc.ca/filler.gif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8" name="Picture 24" descr="http://golfeur.qc.ca/filler.gif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9" name="Picture 25" descr="http://golfeur.qc.ca/filler.gif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50" name="Picture 26" descr="http://golfeur.qc.ca/filler.gif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1" name="Picture 27" descr="http://golfeur.qc.ca/filler.gif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2" name="Picture 28" descr="http://golfeur.qc.ca/filler.gif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3" name="Picture 29" descr="http://golfeur.qc.ca/filler.gif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4" name="Picture 30" descr="http://golfeur.qc.ca/filler.gif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5" name="Picture 31" descr="http://golfeur.qc.ca/filler.gif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6" name="Picture 32" descr="http://golfeur.qc.ca/filler.gif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7" name="Picture 33" descr="http://golfeur.qc.ca/filler.gif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66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" name="Picture 1" descr="http://golfeur.qc.ca/filler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3" name="Picture 2" descr="http://golfeur.qc.ca/filler.gif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4" name="Picture 3" descr="http://golfeur.qc.ca/filler.gif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5" name="Picture 4" descr="http://golfeur.qc.ca/filler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6" name="Picture 5" descr="http://golfeur.qc.ca/filler.gif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7" name="Picture 6" descr="http://golfeur.qc.ca/filler.gif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8" name="Picture 7" descr="http://golfeur.qc.ca/filler.gif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9" name="Picture 8" descr="http://golfeur.qc.ca/filler.gif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" name="Picture 9" descr="http://golfeur.qc.ca/filler.gif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1" name="Picture 10" descr="http://golfeur.qc.ca/filler.gif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2" name="Picture 11" descr="http://golfeur.qc.ca/filler.gif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3" name="Picture 12" descr="http://golfeur.qc.ca/filler.gif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4" name="Picture 13" descr="http://golfeur.qc.ca/filler.gi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5" name="Picture 14" descr="http://golfeur.qc.ca/filler.gif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6" name="Picture 15" descr="http://golfeur.qc.ca/filler.gif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7" name="Picture 16" descr="http://golfeur.qc.ca/filler.gif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8" name="Picture 17" descr="http://golfeur.qc.ca/filler.gif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9" name="Picture 18" descr="http://golfeur.qc.ca/filler.gif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0" name="Picture 19" descr="http://golfeur.qc.ca/filler.gif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1" name="Picture 20" descr="http://golfeur.qc.ca/filler.gif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22" name="Picture 21" descr="http://golfeur.qc.ca/filler.gif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23" name="Picture 22" descr="http://golfeur.qc.ca/filler.gif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24" name="Picture 23" descr="http://golfeur.qc.ca/filler.gif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5" name="Picture 24" descr="http://golfeur.qc.ca/filler.gif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6" name="Picture 25" descr="http://golfeur.qc.ca/filler.gif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7" name="Picture 26" descr="http://golfeur.qc.ca/filler.gif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95250</xdr:colOff>
      <xdr:row>2</xdr:row>
      <xdr:rowOff>95250</xdr:rowOff>
    </xdr:to>
    <xdr:pic>
      <xdr:nvPicPr>
        <xdr:cNvPr id="28" name="Picture 27" descr="http://golfeur.qc.ca/filler.gif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95250</xdr:colOff>
      <xdr:row>2</xdr:row>
      <xdr:rowOff>95250</xdr:rowOff>
    </xdr:to>
    <xdr:pic>
      <xdr:nvPicPr>
        <xdr:cNvPr id="29" name="Picture 28" descr="http://golfeur.qc.ca/filler.gif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95250</xdr:colOff>
      <xdr:row>6</xdr:row>
      <xdr:rowOff>95250</xdr:rowOff>
    </xdr:to>
    <xdr:pic>
      <xdr:nvPicPr>
        <xdr:cNvPr id="30" name="Picture 29" descr="http://golfeur.qc.ca/filler.gif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95250</xdr:colOff>
      <xdr:row>6</xdr:row>
      <xdr:rowOff>95250</xdr:rowOff>
    </xdr:to>
    <xdr:pic>
      <xdr:nvPicPr>
        <xdr:cNvPr id="31" name="Picture 30" descr="http://golfeur.qc.ca/filler.gif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6</xdr:row>
      <xdr:rowOff>0</xdr:rowOff>
    </xdr:from>
    <xdr:to>
      <xdr:col>22</xdr:col>
      <xdr:colOff>95250</xdr:colOff>
      <xdr:row>6</xdr:row>
      <xdr:rowOff>95250</xdr:rowOff>
    </xdr:to>
    <xdr:pic>
      <xdr:nvPicPr>
        <xdr:cNvPr id="1024" name="Picture 31" descr="http://golfeur.qc.ca/filler.gif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95250</xdr:colOff>
      <xdr:row>6</xdr:row>
      <xdr:rowOff>95250</xdr:rowOff>
    </xdr:to>
    <xdr:pic>
      <xdr:nvPicPr>
        <xdr:cNvPr id="1058" name="Picture 32" descr="http://golfeur.qc.ca/filler.gif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6</xdr:row>
      <xdr:rowOff>0</xdr:rowOff>
    </xdr:from>
    <xdr:to>
      <xdr:col>24</xdr:col>
      <xdr:colOff>95250</xdr:colOff>
      <xdr:row>6</xdr:row>
      <xdr:rowOff>95250</xdr:rowOff>
    </xdr:to>
    <xdr:pic>
      <xdr:nvPicPr>
        <xdr:cNvPr id="1059" name="Picture 33" descr="http://golfeur.qc.ca/filler.gif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95250</xdr:colOff>
      <xdr:row>6</xdr:row>
      <xdr:rowOff>95250</xdr:rowOff>
    </xdr:to>
    <xdr:pic>
      <xdr:nvPicPr>
        <xdr:cNvPr id="1060" name="Picture 34" descr="http://golfeur.qc.ca/filler.gif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95250</xdr:colOff>
      <xdr:row>10</xdr:row>
      <xdr:rowOff>95250</xdr:rowOff>
    </xdr:to>
    <xdr:pic>
      <xdr:nvPicPr>
        <xdr:cNvPr id="1061" name="Picture 35" descr="http://golfeur.qc.ca/filler.gif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95250</xdr:colOff>
      <xdr:row>10</xdr:row>
      <xdr:rowOff>95250</xdr:rowOff>
    </xdr:to>
    <xdr:pic>
      <xdr:nvPicPr>
        <xdr:cNvPr id="1062" name="Picture 36" descr="http://golfeur.qc.ca/filler.gif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10</xdr:row>
      <xdr:rowOff>0</xdr:rowOff>
    </xdr:from>
    <xdr:to>
      <xdr:col>22</xdr:col>
      <xdr:colOff>95250</xdr:colOff>
      <xdr:row>10</xdr:row>
      <xdr:rowOff>95250</xdr:rowOff>
    </xdr:to>
    <xdr:pic>
      <xdr:nvPicPr>
        <xdr:cNvPr id="1063" name="Picture 37" descr="http://golfeur.qc.ca/filler.gif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95250</xdr:colOff>
      <xdr:row>10</xdr:row>
      <xdr:rowOff>95250</xdr:rowOff>
    </xdr:to>
    <xdr:pic>
      <xdr:nvPicPr>
        <xdr:cNvPr id="1064" name="Picture 38" descr="http://golfeur.qc.ca/filler.gif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10</xdr:row>
      <xdr:rowOff>0</xdr:rowOff>
    </xdr:from>
    <xdr:to>
      <xdr:col>24</xdr:col>
      <xdr:colOff>95250</xdr:colOff>
      <xdr:row>10</xdr:row>
      <xdr:rowOff>95250</xdr:rowOff>
    </xdr:to>
    <xdr:pic>
      <xdr:nvPicPr>
        <xdr:cNvPr id="1065" name="Picture 39" descr="http://golfeur.qc.ca/filler.gif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95250</xdr:colOff>
      <xdr:row>10</xdr:row>
      <xdr:rowOff>95250</xdr:rowOff>
    </xdr:to>
    <xdr:pic>
      <xdr:nvPicPr>
        <xdr:cNvPr id="1066" name="Picture 40" descr="http://golfeur.qc.ca/filler.gif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95250</xdr:colOff>
      <xdr:row>11</xdr:row>
      <xdr:rowOff>95250</xdr:rowOff>
    </xdr:to>
    <xdr:pic>
      <xdr:nvPicPr>
        <xdr:cNvPr id="1067" name="Picture 41" descr="http://golfeur.qc.ca/filler.gif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68" name="Picture 42" descr="http://golfeur.qc.ca/filler.gif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69" name="Picture 43" descr="http://golfeur.qc.ca/filler.gif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70" name="Picture 44" descr="http://golfeur.qc.ca/filler.gif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71" name="Picture 45" descr="http://golfeur.qc.ca/filler.gif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2" name="Picture 46" descr="http://golfeur.qc.ca/filler.gif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3" name="Picture 47" descr="http://golfeur.qc.ca/filler.gif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74" name="Picture 48" descr="http://golfeur.qc.ca/filler.gif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5" name="Picture 49" descr="http://golfeur.qc.ca/filler.gif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76" name="Picture 50" descr="http://golfeur.qc.ca/filler.gif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77" name="Picture 51" descr="http://golfeur.qc.ca/filler.gif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78" name="Picture 52" descr="http://golfeur.qc.ca/filler.gif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9" name="Picture 53" descr="http://golfeur.qc.ca/filler.gif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0" name="Picture 54" descr="http://golfeur.qc.ca/filler.gif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1" name="Picture 55" descr="http://golfeur.qc.ca/filler.gif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2" name="Picture 56" descr="http://golfeur.qc.ca/filler.gif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3" name="Picture 57" descr="http://golfeur.qc.ca/filler.gif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84" name="Picture 58" descr="http://golfeur.qc.ca/filler.gif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85" name="Picture 59" descr="http://golfeur.qc.ca/filler.gif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6" name="Picture 60" descr="http://golfeur.qc.ca/filler.gif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7" name="Picture 61" descr="http://golfeur.qc.ca/filler.gif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8" name="Picture 62" descr="http://golfeur.qc.ca/filler.gif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9" name="Picture 63" descr="http://golfeur.qc.ca/filler.gif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90" name="Picture 64" descr="http://golfeur.qc.ca/filler.gif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1" name="Picture 65" descr="http://golfeur.qc.ca/filler.gif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2" name="Picture 66" descr="http://golfeur.qc.ca/filler.gif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3" name="Picture 67" descr="http://golfeur.qc.ca/filler.gif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4" name="Picture 68" descr="http://golfeur.qc.ca/filler.gif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5" name="Picture 69" descr="http://golfeur.qc.ca/filler.gif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6" name="Picture 70" descr="http://golfeur.qc.ca/filler.gif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7" name="Picture 71" descr="http://golfeur.qc.ca/filler.gif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8" name="Picture 72" descr="http://golfeur.qc.ca/filler.gif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99" name="Picture 73" descr="http://golfeur.qc.ca/filler.gif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00" name="Picture 74" descr="http://golfeur.qc.ca/filler.gif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01" name="Picture 75" descr="http://golfeur.qc.ca/filler.gif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2" name="Picture 76" descr="http://golfeur.qc.ca/filler.gif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3" name="Picture 77" descr="http://golfeur.qc.ca/filler.gif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4" name="Picture 78" descr="http://golfeur.qc.ca/filler.gif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5" name="Picture 79" descr="http://golfeur.qc.ca/filler.gif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6" name="Picture 80" descr="http://golfeur.qc.ca/filler.gif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7" name="Picture 81" descr="http://golfeur.qc.ca/filler.gif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71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08" name="Picture 1" descr="http://golfeur.qc.ca/filler.gif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09" name="Picture 2" descr="http://golfeur.qc.ca/filler.gif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0" name="Picture 3" descr="http://golfeur.qc.ca/filler.gif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1" name="Picture 4" descr="http://golfeur.qc.ca/filler.gif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2" name="Picture 5" descr="http://golfeur.qc.ca/filler.gif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3" name="Picture 6" descr="http://golfeur.qc.ca/filler.gif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14" name="Picture 7" descr="http://golfeur.qc.ca/filler.gif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15" name="Picture 8" descr="http://golfeur.qc.ca/filler.gif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16" name="Picture 9" descr="http://golfeur.qc.ca/filler.gif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7" name="Picture 10" descr="http://golfeur.qc.ca/filler.gif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8" name="Picture 11" descr="http://golfeur.qc.ca/filler.gif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9" name="Picture 12" descr="http://golfeur.qc.ca/filler.gif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0" name="Picture 13" descr="http://golfeur.qc.ca/filler.gif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21" name="Picture 14" descr="http://golfeur.qc.ca/filler.gif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22" name="Picture 15" descr="http://golfeur.qc.ca/filler.gif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23" name="Picture 16" descr="http://golfeur.qc.ca/filler.gif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24" name="Picture 17" descr="http://golfeur.qc.ca/filler.gif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5" name="Picture 18" descr="http://golfeur.qc.ca/filler.gif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26" name="Picture 19" descr="http://golfeur.qc.ca/filler.gif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27" name="Picture 20" descr="http://golfeur.qc.ca/filler.gif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8" name="Picture 21" descr="http://golfeur.qc.ca/filler.gif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9" name="Picture 22" descr="http://golfeur.qc.ca/filler.gif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30" name="Picture 23" descr="http://golfeur.qc.ca/filler.gif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31" name="Picture 24" descr="http://golfeur.qc.ca/filler.gif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2" name="Picture 25" descr="http://golfeur.qc.ca/filler.gif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3" name="Picture 26" descr="http://golfeur.qc.ca/filler.gif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34" name="Picture 27" descr="http://golfeur.qc.ca/filler.gif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5" name="Picture 28" descr="http://golfeur.qc.ca/filler.gif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36" name="Picture 29" descr="http://golfeur.qc.ca/filler.gif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37" name="Picture 30" descr="http://golfeur.qc.ca/filler.gif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38" name="Picture 31" descr="http://golfeur.qc.ca/filler.gif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9" name="Picture 32" descr="http://golfeur.qc.ca/filler.gif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0" name="Picture 33" descr="http://golfeur.qc.ca/filler.gif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1" name="Picture 34" descr="http://golfeur.qc.ca/filler.gif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2" name="Picture 35" descr="http://golfeur.qc.ca/filler.gif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3" name="Picture 36" descr="http://golfeur.qc.ca/filler.gif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44" name="Picture 37" descr="http://golfeur.qc.ca/filler.gif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45" name="Picture 38" descr="http://golfeur.qc.ca/filler.gif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6" name="Picture 39" descr="http://golfeur.qc.ca/filler.gif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7" name="Picture 40" descr="http://golfeur.qc.ca/filler.gif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8" name="Picture 41" descr="http://golfeur.qc.ca/filler.gif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9" name="Picture 42" descr="http://golfeur.qc.ca/filler.gif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0" name="Picture 43" descr="http://golfeur.qc.ca/filler.gif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1" name="Picture 44" descr="http://golfeur.qc.ca/filler.gif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2" name="Picture 45" descr="http://golfeur.qc.ca/filler.gif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3" name="Picture 46" descr="http://golfeur.qc.ca/filler.gif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4" name="Picture 47" descr="http://golfeur.qc.ca/filler.gif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5" name="Picture 48" descr="http://golfeur.qc.ca/filler.gif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6" name="Picture 49" descr="http://golfeur.qc.ca/filler.gif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57" name="Picture 50" descr="http://golfeur.qc.ca/filler.gif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58" name="Picture 51" descr="http://golfeur.qc.ca/filler.gif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9" name="Picture 52" descr="http://golfeur.qc.ca/filler.gif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0" name="Picture 53" descr="http://golfeur.qc.ca/filler.gif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1" name="Picture 54" descr="http://golfeur.qc.ca/filler.gif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62" name="Picture 55" descr="http://golfeur.qc.ca/filler.gif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63" name="Picture 56" descr="http://golfeur.qc.ca/filler.gif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64" name="Picture 57" descr="http://golfeur.qc.ca/filler.gif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65" name="Picture 58" descr="http://golfeur.qc.ca/filler.gif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6" name="Picture 59" descr="http://golfeur.qc.ca/filler.gif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7" name="Picture 60" descr="http://golfeur.qc.ca/filler.gif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8" name="Picture 61" descr="http://golfeur.qc.ca/filler.gif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9" name="Picture 62" descr="http://golfeur.qc.ca/filler.gif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0" name="Picture 63" descr="http://golfeur.qc.ca/filler.gif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1" name="Picture 64" descr="http://golfeur.qc.ca/filler.gif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2" name="Picture 65" descr="http://golfeur.qc.ca/filler.gif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3" name="Picture 66" descr="http://golfeur.qc.ca/filler.gif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74" name="Picture 67" descr="http://golfeur.qc.ca/filler.gif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75" name="Picture 68" descr="http://golfeur.qc.ca/filler.gif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76" name="Picture 69" descr="http://golfeur.qc.ca/filler.gif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7" name="Picture 70" descr="http://golfeur.qc.ca/filler.gif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8" name="Picture 71" descr="http://golfeur.qc.ca/filler.gif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9" name="Picture 72" descr="http://golfeur.qc.ca/filler.gif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80" name="Picture 73" descr="http://golfeur.qc.ca/filler.gif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81" name="Picture 74" descr="http://golfeur.qc.ca/filler.gif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82" name="Picture 75" descr="http://golfeur.qc.ca/filler.gif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3" name="Picture 76" descr="http://golfeur.qc.ca/filler.gif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4" name="Picture 77" descr="http://golfeur.qc.ca/filler.gif">
          <a:extLs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5" name="Picture 78" descr="http://golfeur.qc.ca/filler.gif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6" name="Picture 79" descr="http://golfeur.qc.ca/filler.gif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87" name="Picture 80" descr="http://golfeur.qc.ca/filler.gif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8" name="Picture 81" descr="http://golfeur.qc.ca/filler.gif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9" name="Picture 82" descr="http://golfeur.qc.ca/filler.gif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0" name="Picture 83" descr="http://golfeur.qc.ca/filler.gif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1" name="Picture 84" descr="http://golfeur.qc.ca/filler.gif">
          <a:extLs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2" name="Picture 85" descr="http://golfeur.qc.ca/filler.gif">
          <a:extLs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3" name="Picture 86" descr="http://golfeur.qc.ca/filler.gif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94" name="Picture 87" descr="http://golfeur.qc.ca/filler.gif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95" name="Picture 88" descr="http://golfeur.qc.ca/filler.gif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6" name="Picture 89" descr="http://golfeur.qc.ca/filler.gif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7" name="Picture 90" descr="http://golfeur.qc.ca/filler.gif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8" name="Picture 91" descr="http://golfeur.qc.ca/filler.gif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9" name="Picture 92" descr="http://golfeur.qc.ca/filler.gif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0" name="Picture 93" descr="http://golfeur.qc.ca/filler.gif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1" name="Picture 94" descr="http://golfeur.qc.ca/filler.gif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2" name="Picture 95" descr="http://golfeur.qc.ca/filler.gif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3" name="Picture 96" descr="http://golfeur.qc.ca/filler.gif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4" name="Picture 97" descr="http://golfeur.qc.ca/filler.gif">
          <a:extLst>
            <a:ext uri="{FF2B5EF4-FFF2-40B4-BE49-F238E27FC236}">
              <a16:creationId xmlns:a16="http://schemas.microsoft.com/office/drawing/2014/main" id="{00000000-0008-0000-0000-0000B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05" name="Picture 98" descr="http://golfeur.qc.ca/filler.gif">
          <a:extLst>
            <a:ext uri="{FF2B5EF4-FFF2-40B4-BE49-F238E27FC236}">
              <a16:creationId xmlns:a16="http://schemas.microsoft.com/office/drawing/2014/main" id="{00000000-0008-0000-0000-0000B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06" name="Picture 99" descr="http://golfeur.qc.ca/filler.gif">
          <a:extLst>
            <a:ext uri="{FF2B5EF4-FFF2-40B4-BE49-F238E27FC236}">
              <a16:creationId xmlns:a16="http://schemas.microsoft.com/office/drawing/2014/main" id="{00000000-0008-0000-0000-0000B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7" name="Picture 100" descr="http://golfeur.qc.ca/filler.gif">
          <a:extLs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00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8" name="Picture 101" descr="http://golfeur.qc.ca/filler.gif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9" name="Picture 102" descr="http://golfeur.qc.ca/filler.gif">
          <a:extLs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0" name="Picture 103" descr="http://golfeur.qc.ca/filler.gif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1" name="Picture 104" descr="http://golfeur.qc.ca/filler.gif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2" name="Picture 105" descr="http://golfeur.qc.ca/filler.gif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3" name="Picture 106" descr="http://golfeur.qc.ca/filler.gif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14" name="Picture 107" descr="http://golfeur.qc.ca/filler.gif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15" name="Picture 108" descr="http://golfeur.qc.ca/filler.gif">
          <a:extLs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6" name="Picture 109" descr="http://golfeur.qc.ca/filler.gif">
          <a:extLs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7" name="Picture 110" descr="http://golfeur.qc.ca/filler.gif">
          <a:extLs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8" name="Picture 111" descr="http://golfeur.qc.ca/filler.gif">
          <a:extLs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9" name="Picture 112" descr="http://golfeur.qc.ca/filler.gif">
          <a:extLs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0" name="Picture 113" descr="http://golfeur.qc.ca/filler.gif">
          <a:extLs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1" name="Picture 114" descr="http://golfeur.qc.ca/filler.gif">
          <a:extLs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2" name="Picture 115" descr="http://golfeur.qc.ca/filler.gif">
          <a:extLs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3" name="Picture 116" descr="http://golfeur.qc.ca/filler.gif">
          <a:extLs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4" name="Picture 117" descr="http://golfeur.qc.ca/filler.gif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5" name="Picture 118" descr="http://golfeur.qc.ca/filler.gif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6" name="Picture 119" descr="http://golfeur.qc.ca/filler.gif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7" name="Picture 120" descr="http://golfeur.qc.ca/filler.gif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28" name="Picture 121" descr="http://golfeur.qc.ca/filler.gif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29" name="Picture 122" descr="http://golfeur.qc.ca/filler.gif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0" name="Picture 123" descr="http://golfeur.qc.ca/filler.gif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1" name="Picture 124" descr="http://golfeur.qc.ca/filler.gif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2" name="Picture 125" descr="http://golfeur.qc.ca/filler.gif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3" name="Picture 126" descr="http://golfeur.qc.ca/filler.gif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34" name="Picture 127" descr="http://golfeur.qc.ca/filler.gif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35" name="Picture 128" descr="http://golfeur.qc.ca/filler.gif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6" name="Picture 129" descr="http://golfeur.qc.ca/filler.gif">
          <a:extLst>
            <a:ext uri="{FF2B5EF4-FFF2-40B4-BE49-F238E27FC236}">
              <a16:creationId xmlns:a16="http://schemas.microsoft.com/office/drawing/2014/main" id="{00000000-0008-0000-0000-0000D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7" name="Picture 130" descr="http://golfeur.qc.ca/filler.gif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8" name="Picture 131" descr="http://golfeur.qc.ca/filler.gif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9" name="Picture 132" descr="http://golfeur.qc.ca/filler.gif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40" name="Picture 133" descr="http://golfeur.qc.ca/filler.gif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41" name="Picture 134" descr="http://golfeur.qc.ca/filler.gif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2" name="Picture 135" descr="http://golfeur.qc.ca/filler.gif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3" name="Picture 136" descr="http://golfeur.qc.ca/filler.gif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4" name="Picture 137" descr="http://golfeur.qc.ca/filler.gif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5" name="Picture 138" descr="http://golfeur.qc.ca/filler.gif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46" name="Picture 139" descr="http://golfeur.qc.ca/filler.gif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7" name="Picture 140" descr="http://golfeur.qc.ca/filler.gif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8" name="Picture 141" descr="http://golfeur.qc.ca/filler.gif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9" name="Picture 142" descr="http://golfeur.qc.ca/filler.gif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0" name="Picture 143" descr="http://golfeur.qc.ca/filler.gif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51" name="Picture 144" descr="http://golfeur.qc.ca/filler.gif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52" name="Picture 145" descr="http://golfeur.qc.ca/filler.gif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3" name="Picture 146" descr="http://golfeur.qc.ca/filler.gif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54" name="Picture 147" descr="http://golfeur.qc.ca/filler.gif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55" name="Picture 148" descr="http://golfeur.qc.ca/filler.gif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6" name="Picture 149" descr="http://golfeur.qc.ca/filler.gif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7" name="Picture 150" descr="http://golfeur.qc.ca/filler.gif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8" name="Picture 151" descr="http://golfeur.qc.ca/filler.gif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9" name="Picture 152" descr="http://golfeur.qc.ca/filler.gif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0" name="Picture 153" descr="http://golfeur.qc.ca/filler.gif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1" name="Picture 154" descr="http://golfeur.qc.ca/filler.gif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2" name="Picture 155" descr="http://golfeur.qc.ca/filler.gif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3" name="Picture 156" descr="http://golfeur.qc.ca/filler.gif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4" name="Picture 157" descr="http://golfeur.qc.ca/filler.gif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5" name="Picture 158" descr="http://golfeur.qc.ca/filler.gif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6" name="Picture 159" descr="http://golfeur.qc.ca/filler.gif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7" name="Picture 160" descr="http://golfeur.qc.ca/filler.gif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8" name="Picture 161" descr="http://golfeur.qc.ca/filler.gif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9" name="Picture 162" descr="http://golfeur.qc.ca/filler.gif">
          <a:extLs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1" name="Picture 164" descr="http://golfeur.qc.ca/filler.gif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2" name="Picture 165" descr="http://golfeur.qc.ca/filler.gif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3" name="Picture 166" descr="http://golfeur.qc.ca/filler.gif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4" name="Picture 167" descr="http://golfeur.qc.ca/filler.gif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5" name="Picture 168" descr="http://golfeur.qc.ca/filler.gif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6" name="Picture 169" descr="http://golfeur.qc.ca/filler.gif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7" name="Picture 170" descr="http://golfeur.qc.ca/filler.gif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6" name="Picture 150" descr="http://golfeur.qc.ca/filler.gif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7" name="Picture 151" descr="http://golfeur.qc.ca/filler.gif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8" name="Picture 152" descr="http://golfeur.qc.ca/filler.gif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9" name="Picture 153" descr="http://golfeur.qc.ca/filler.gif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0" name="Picture 154" descr="http://golfeur.qc.ca/filler.gif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1" name="Picture 155" descr="http://golfeur.qc.ca/filler.gif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9" name="Picture 172" descr="http://golfeur.qc.ca/filler.gif">
          <a:extLs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6" name="Picture 173" descr="http://golfeur.qc.ca/filler.gif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7" name="Picture 174" descr="http://golfeur.qc.ca/filler.gif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8" name="Picture 175" descr="http://golfeur.qc.ca/filler.gif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9" name="Picture 176" descr="http://golfeur.qc.ca/filler.gif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0" name="Picture 177" descr="http://golfeur.qc.ca/filler.gif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1" name="Picture 178" descr="http://golfeur.qc.ca/filler.gif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2" name="Picture 179" descr="http://golfeur.qc.ca/filler.gif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3" name="Picture 180" descr="http://golfeur.qc.ca/filler.gif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4" name="Picture 181" descr="http://golfeur.qc.ca/filler.gif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5" name="Picture 182" descr="http://golfeur.qc.ca/filler.gif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6" name="Picture 183" descr="http://golfeur.qc.ca/filler.gif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7" name="Picture 184" descr="http://golfeur.qc.ca/filler.gif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8" name="Picture 185" descr="http://golfeur.qc.ca/filler.gif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81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9" name="Picture 186" descr="http://golfeur.qc.ca/filler.gif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0" name="Picture 187" descr="http://golfeur.qc.ca/filler.gif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1" name="Picture 188" descr="http://golfeur.qc.ca/filler.gif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2" name="Picture 189" descr="http://golfeur.qc.ca/filler.gif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3" name="Picture 190" descr="http://golfeur.qc.ca/filler.gif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4" name="Picture 191" descr="http://golfeur.qc.ca/filler.gif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5" name="Picture 192" descr="http://golfeur.qc.ca/filler.gif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81" name="Picture 198" descr="http://golfeur.qc.ca/filler.gif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82" name="Picture 199" descr="http://golfeur.qc.ca/filler.gif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3" name="Picture 200" descr="http://golfeur.qc.ca/filler.gif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4" name="Picture 201" descr="http://golfeur.qc.ca/filler.gif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85" name="Picture 202" descr="http://golfeur.qc.ca/filler.gif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2" name="Picture 203" descr="http://golfeur.qc.ca/filler.gif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3" name="Picture 204" descr="http://golfeur.qc.ca/filler.gif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94" name="Picture 205" descr="http://golfeur.qc.ca/filler.gif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5" name="Picture 206" descr="http://golfeur.qc.ca/filler.gif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6" name="Picture 207" descr="http://golfeur.qc.ca/filler.gif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97" name="Picture 208" descr="http://golfeur.qc.ca/filler.gif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8" name="Picture 209" descr="http://golfeur.qc.ca/filler.gif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9" name="Picture 210" descr="http://golfeur.qc.ca/filler.gif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0" name="Picture 211" descr="http://golfeur.qc.ca/filler.gif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1" name="Picture 212" descr="http://golfeur.qc.ca/filler.gif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2" name="Picture 213" descr="http://golfeur.qc.ca/filler.gif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3" name="Picture 214" descr="http://golfeur.qc.ca/filler.gif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4" name="Picture 215" descr="http://golfeur.qc.ca/filler.gif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05" name="Picture 216" descr="http://golfeur.qc.ca/filler.gif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06" name="Picture 217" descr="http://golfeur.qc.ca/filler.gif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07" name="Picture 218" descr="http://golfeur.qc.ca/filler.gif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8" name="Picture 219" descr="http://golfeur.qc.ca/filler.gif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9" name="Picture 220" descr="http://golfeur.qc.ca/filler.gif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0" name="Picture 221" descr="http://golfeur.qc.ca/filler.gif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1" name="Picture 222" descr="http://golfeur.qc.ca/filler.gif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2" name="Picture 223" descr="http://golfeur.qc.ca/filler.gif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3" name="Picture 224" descr="http://golfeur.qc.ca/filler.gif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4" name="Picture 225" descr="http://golfeur.qc.ca/filler.gif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5" name="Picture 226" descr="http://golfeur.qc.ca/filler.gif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16" name="Picture 227" descr="http://golfeur.qc.ca/filler.gif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17" name="Picture 228" descr="http://golfeur.qc.ca/filler.gif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18" name="Picture 229" descr="http://golfeur.qc.ca/filler.gif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9" name="Picture 230" descr="http://golfeur.qc.ca/filler.gif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0" name="Picture 231" descr="http://golfeur.qc.ca/filler.gif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1" name="Picture 232" descr="http://golfeur.qc.ca/filler.gif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82" name="Picture 233" descr="http://golfeur.qc.ca/filler.gif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83" name="Picture 234" descr="http://golfeur.qc.ca/filler.gif">
          <a:extLs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84" name="Picture 235" descr="http://golfeur.qc.ca/filler.gif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5" name="Picture 236" descr="http://golfeur.qc.ca/filler.gif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6" name="Picture 237" descr="http://golfeur.qc.ca/filler.gif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7" name="Picture 238" descr="http://golfeur.qc.ca/filler.gif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8" name="Picture 239" descr="http://golfeur.qc.ca/filler.gif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9" name="Picture 240" descr="http://golfeur.qc.ca/filler.gif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0" name="Picture 241" descr="http://golfeur.qc.ca/filler.gif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1" name="Picture 242" descr="http://golfeur.qc.ca/filler.gif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2" name="Picture 243" descr="http://golfeur.qc.ca/filler.gif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3" name="Picture 244" descr="http://golfeur.qc.ca/filler.gif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94" name="Picture 245" descr="http://golfeur.qc.ca/filler.gif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95" name="Picture 246" descr="http://golfeur.qc.ca/filler.gif">
          <a:extLs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6" name="Picture 247" descr="http://golfeur.qc.ca/filler.gif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7" name="Picture 248" descr="http://golfeur.qc.ca/filler.gif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8" name="Picture 249" descr="http://golfeur.qc.ca/filler.gif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9" name="Picture 250" descr="http://golfeur.qc.ca/filler.gif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0" name="Picture 251" descr="http://golfeur.qc.ca/filler.gif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1" name="Picture 252" descr="http://golfeur.qc.ca/filler.gif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2" name="Picture 253" descr="http://golfeur.qc.ca/filler.gif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3" name="Picture 254" descr="http://golfeur.qc.ca/filler.gif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4" name="Picture 255" descr="http://golfeur.qc.ca/filler.gif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5" name="Picture 256" descr="http://golfeur.qc.ca/filler.gif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06" name="Picture 257" descr="http://golfeur.qc.ca/filler.gif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07" name="Picture 258" descr="http://golfeur.qc.ca/filler.gif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08" name="Picture 259" descr="http://golfeur.qc.ca/filler.gif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9" name="Picture 260" descr="http://golfeur.qc.ca/filler.gif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0" name="Picture 261" descr="http://golfeur.qc.ca/filler.gif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1" name="Picture 262" descr="http://golfeur.qc.ca/filler.gif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12" name="Picture 263" descr="http://golfeur.qc.ca/filler.gif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13" name="Picture 264" descr="http://golfeur.qc.ca/filler.gif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14" name="Picture 265" descr="http://golfeur.qc.ca/filler.gif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5" name="Picture 266" descr="http://golfeur.qc.ca/filler.gif">
          <a:extLs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6" name="Picture 267" descr="http://golfeur.qc.ca/filler.gif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7" name="Picture 268" descr="http://golfeur.qc.ca/filler.gif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8" name="Picture 269" descr="http://golfeur.qc.ca/filler.gif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9" name="Picture 270" descr="http://golfeur.qc.ca/filler.gif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0" name="Picture 271" descr="http://golfeur.qc.ca/filler.gif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1" name="Picture 272" descr="http://golfeur.qc.ca/filler.gif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2" name="Picture 273" descr="http://golfeur.qc.ca/filler.gif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3" name="Picture 274" descr="http://golfeur.qc.ca/filler.gif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24" name="Picture 275" descr="http://golfeur.qc.ca/filler.gif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25" name="Picture 276" descr="http://golfeur.qc.ca/filler.gif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6" name="Picture 277" descr="http://golfeur.qc.ca/filler.gif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7" name="Picture 278" descr="http://golfeur.qc.ca/filler.gif">
          <a:extLs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8" name="Picture 279" descr="http://golfeur.qc.ca/filler.gif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9" name="Picture 280" descr="http://golfeur.qc.ca/filler.gif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0" name="Picture 281" descr="http://golfeur.qc.ca/filler.gif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1" name="Picture 282" descr="http://golfeur.qc.ca/filler.gif">
          <a:extLs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2" name="Picture 283" descr="http://golfeur.qc.ca/filler.gif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76" name="Picture 1" descr="http://golfeur.qc.ca/filler.gif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277" name="Picture 2" descr="http://golfeur.qc.ca/filler.gif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8" name="Picture 3" descr="http://golfeur.qc.ca/filler.gif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9" name="Picture 4" descr="http://golfeur.qc.ca/filler.gif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80" name="Picture 5" descr="http://golfeur.qc.ca/filler.gif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70" name="Picture 6" descr="http://golfeur.qc.ca/filler.gif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8" name="Picture 7" descr="http://golfeur.qc.ca/filler.gif">
          <a:extLs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33" name="Picture 8" descr="http://golfeur.qc.ca/filler.gif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334" name="Picture 9" descr="http://golfeur.qc.ca/filler.gif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335" name="Picture 10" descr="http://golfeur.qc.ca/filler.gif">
          <a:extLs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6" name="Picture 11" descr="http://golfeur.qc.ca/filler.gif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7" name="Picture 12" descr="http://golfeur.qc.ca/filler.gif">
          <a:extLs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8" name="Picture 13" descr="http://golfeur.qc.ca/filler.gif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9" name="Picture 14" descr="http://golfeur.qc.ca/filler.gif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0" name="Picture 15" descr="http://golfeur.qc.ca/filler.gif">
          <a:extLs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41" name="Picture 16" descr="http://golfeur.qc.ca/filler.gif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42" name="Picture 17" descr="http://golfeur.qc.ca/filler.gif">
          <a:extLs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3" name="Picture 18" descr="http://golfeur.qc.ca/filler.gif">
          <a:extLs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4" name="Picture 19" descr="http://golfeur.qc.ca/filler.gif">
          <a:extLs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5" name="Picture 20" descr="http://golfeur.qc.ca/filler.gif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6" name="Picture 21" descr="http://golfeur.qc.ca/filler.gif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7" name="Picture 22" descr="http://golfeur.qc.ca/filler.gif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8" name="Picture 23" descr="http://golfeur.qc.ca/filler.gif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9" name="Picture 24" descr="http://golfeur.qc.ca/filler.gif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0" name="Picture 25" descr="http://golfeur.qc.ca/filler.gif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51" name="Picture 26" descr="http://golfeur.qc.ca/filler.gif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2" name="Picture 27" descr="http://golfeur.qc.ca/filler.gif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3" name="Picture 28" descr="http://golfeur.qc.ca/filler.gif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4" name="Picture 29" descr="http://golfeur.qc.ca/filler.gif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14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5" name="Picture 30" descr="http://golfeur.qc.ca/filler.gif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6" name="Picture 31" descr="http://golfeur.qc.ca/filler.gif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7" name="Picture 32" descr="http://golfeur.qc.ca/filler.gif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58" name="Picture 33" descr="http://golfeur.qc.ca/filler.gif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9" name="Picture 34" descr="http://golfeur.qc.ca/filler.gif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60" name="Picture 35" descr="http://golfeur.qc.ca/filler.gif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1" name="Picture 36" descr="http://golfeur.qc.ca/filler.gif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2" name="Picture 37" descr="http://golfeur.qc.ca/filler.gif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3" name="Picture 38" descr="http://golfeur.qc.ca/filler.gif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4" name="Picture 39" descr="http://golfeur.qc.ca/filler.gif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5" name="Picture 40" descr="http://golfeur.qc.ca/filler.gif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6" name="Picture 41" descr="http://golfeur.qc.ca/filler.gif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7" name="Picture 42" descr="http://golfeur.qc.ca/filler.gif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8" name="Picture 43" descr="http://golfeur.qc.ca/filler.gif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69" name="Picture 44" descr="http://golfeur.qc.ca/filler.gif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0" name="Picture 45" descr="http://golfeur.qc.ca/filler.gif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1" name="Picture 46" descr="http://golfeur.qc.ca/filler.gif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2" name="Picture 47" descr="http://golfeur.qc.ca/filler.gif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3" name="Picture 48" descr="http://golfeur.qc.ca/filler.gif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74" name="Picture 49" descr="http://golfeur.qc.ca/filler.gif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75" name="Picture 50" descr="http://golfeur.qc.ca/filler.gif">
          <a:extLs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6" name="Picture 51" descr="http://golfeur.qc.ca/filler.gif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7" name="Picture 52" descr="http://golfeur.qc.ca/filler.gif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8" name="Picture 53" descr="http://golfeur.qc.ca/filler.gif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9" name="Picture 54" descr="http://golfeur.qc.ca/filler.gif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0" name="Picture 55" descr="http://golfeur.qc.ca/filler.gif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1" name="Picture 56" descr="http://golfeur.qc.ca/filler.gif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2" name="Picture 57" descr="http://golfeur.qc.ca/filler.gif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3" name="Picture 58" descr="http://golfeur.qc.ca/filler.gif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4" name="Picture 59" descr="http://golfeur.qc.ca/filler.gif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5" name="Picture 60" descr="http://golfeur.qc.ca/filler.gif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86" name="Picture 61" descr="http://golfeur.qc.ca/filler.gif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87" name="Picture 62" descr="http://golfeur.qc.ca/filler.gif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88" name="Picture 63" descr="http://golfeur.qc.ca/filler.gif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9" name="Picture 64" descr="http://golfeur.qc.ca/filler.gif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0" name="Picture 65" descr="http://golfeur.qc.ca/filler.gif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1" name="Picture 66" descr="http://golfeur.qc.ca/filler.gif">
          <a:extLs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92" name="Picture 67" descr="http://golfeur.qc.ca/filler.gif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93" name="Picture 68" descr="http://golfeur.qc.ca/filler.gif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94" name="Picture 69" descr="http://golfeur.qc.ca/filler.gif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5" name="Picture 70" descr="http://golfeur.qc.ca/filler.gif">
          <a:extLs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6" name="Picture 71" descr="http://golfeur.qc.ca/filler.gif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7" name="Picture 72" descr="http://golfeur.qc.ca/filler.gif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8" name="Picture 73" descr="http://golfeur.qc.ca/filler.gif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9" name="Picture 74" descr="http://golfeur.qc.ca/filler.gif">
          <a:extLs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0" name="Picture 75" descr="http://golfeur.qc.ca/filler.gif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38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1" name="Picture 76" descr="http://golfeur.qc.ca/filler.gif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2" name="Picture 77" descr="http://golfeur.qc.ca/filler.gif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3" name="Picture 78" descr="http://golfeur.qc.ca/filler.gif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04" name="Picture 79" descr="http://golfeur.qc.ca/filler.gif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05" name="Picture 80" descr="http://golfeur.qc.ca/filler.gif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06" name="Picture 81" descr="http://golfeur.qc.ca/filler.gif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7" name="Picture 82" descr="http://golfeur.qc.ca/filler.gif">
          <a:extLs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8" name="Picture 83" descr="http://golfeur.qc.ca/filler.gif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9" name="Picture 84" descr="http://golfeur.qc.ca/filler.gif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0" name="Picture 85" descr="http://golfeur.qc.ca/filler.gif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11" name="Picture 86" descr="http://golfeur.qc.ca/filler.gif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12" name="Picture 87" descr="http://golfeur.qc.ca/filler.gif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3" name="Picture 88" descr="http://golfeur.qc.ca/filler.gif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4" name="Picture 89" descr="http://golfeur.qc.ca/filler.gif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5" name="Picture 90" descr="http://golfeur.qc.ca/filler.gif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6" name="Picture 91" descr="http://golfeur.qc.ca/filler.gif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7" name="Picture 92" descr="http://golfeur.qc.ca/filler.gif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8" name="Picture 93" descr="http://golfeur.qc.ca/filler.gif">
          <a:extLs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9" name="Picture 94" descr="http://golfeur.qc.ca/filler.gif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0" name="Picture 95" descr="http://golfeur.qc.ca/filler.gif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1" name="Picture 96" descr="http://golfeur.qc.ca/filler.gif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2" name="Picture 97" descr="http://golfeur.qc.ca/filler.gif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3" name="Picture 98" descr="http://golfeur.qc.ca/filler.gif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24" name="Picture 99" descr="http://golfeur.qc.ca/filler.gif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25" name="Picture 100" descr="http://golfeur.qc.ca/filler.gif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6" name="Picture 101" descr="http://golfeur.qc.ca/filler.gif">
          <a:extLs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7" name="Picture 102" descr="http://golfeur.qc.ca/filler.gif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8" name="Picture 103" descr="http://golfeur.qc.ca/filler.gif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9" name="Picture 104" descr="http://golfeur.qc.ca/filler.gif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0" name="Picture 105" descr="http://golfeur.qc.ca/filler.gif">
          <a:extLs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1" name="Picture 106" descr="http://golfeur.qc.ca/filler.gif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2" name="Picture 107" descr="http://golfeur.qc.ca/filler.gif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3" name="Picture 108" descr="http://golfeur.qc.ca/filler.gif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4" name="Picture 109" descr="http://golfeur.qc.ca/filler.gif">
          <a:extLs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5" name="Picture 110" descr="http://golfeur.qc.ca/filler.gif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6" name="Picture 111" descr="http://golfeur.qc.ca/filler.gif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37" name="Picture 112" descr="http://golfeur.qc.ca/filler.gif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38" name="Picture 113" descr="http://golfeur.qc.ca/filler.gif">
          <a:extLs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39" name="Picture 114" descr="http://golfeur.qc.ca/filler.gif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0" name="Picture 115" descr="http://golfeur.qc.ca/filler.gif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1" name="Picture 116" descr="http://golfeur.qc.ca/filler.gif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42" name="Picture 117" descr="http://golfeur.qc.ca/filler.gif">
          <a:extLs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43" name="Picture 118" descr="http://golfeur.qc.ca/filler.gif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44" name="Picture 119" descr="http://golfeur.qc.ca/filler.gif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45" name="Picture 120" descr="http://golfeur.qc.ca/filler.gif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6" name="Picture 121" descr="http://golfeur.qc.ca/filler.gif">
          <a:extLs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7" name="Picture 122" descr="http://golfeur.qc.ca/filler.gif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8" name="Picture 123" descr="http://golfeur.qc.ca/filler.gif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9" name="Picture 124" descr="http://golfeur.qc.ca/filler.gif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0" name="Picture 125" descr="http://golfeur.qc.ca/filler.gif">
          <a:extLs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1" name="Picture 126" descr="http://golfeur.qc.ca/filler.gif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2" name="Picture 127" descr="http://golfeur.qc.ca/filler.gif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3" name="Picture 128" descr="http://golfeur.qc.ca/filler.gif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54" name="Picture 129" descr="http://golfeur.qc.ca/filler.gif">
          <a:extLs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55" name="Picture 130" descr="http://golfeur.qc.ca/filler.gif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56" name="Picture 131" descr="http://golfeur.qc.ca/filler.gif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7" name="Picture 132" descr="http://golfeur.qc.ca/filler.gif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8" name="Picture 133" descr="http://golfeur.qc.ca/filler.gif">
          <a:extLs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9" name="Picture 134" descr="http://golfeur.qc.ca/filler.gif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60" name="Picture 135" descr="http://golfeur.qc.ca/filler.gif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61" name="Picture 136" descr="http://golfeur.qc.ca/filler.gif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62" name="Picture 137" descr="http://golfeur.qc.ca/filler.gif">
          <a:extLs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3" name="Picture 138" descr="http://golfeur.qc.ca/filler.gif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4" name="Picture 139" descr="http://golfeur.qc.ca/filler.gif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5" name="Picture 140" descr="http://golfeur.qc.ca/filler.gif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6" name="Picture 141" descr="http://golfeur.qc.ca/filler.gif">
          <a:extLs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8" name="Picture 143" descr="http://golfeur.qc.ca/filler.gif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9" name="Picture 144" descr="http://golfeur.qc.ca/filler.gif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0" name="Picture 145" descr="http://golfeur.qc.ca/filler.gif">
          <a:extLs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1" name="Picture 146" descr="http://golfeur.qc.ca/filler.gif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2" name="Picture 147" descr="http://golfeur.qc.ca/filler.gif">
          <a:extLs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3" name="Picture 148" descr="http://golfeur.qc.ca/filler.gif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74" name="Picture 149" descr="http://golfeur.qc.ca/filler.gif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75" name="Picture 150" descr="http://golfeur.qc.ca/filler.gif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6" name="Picture 151" descr="http://golfeur.qc.ca/filler.gif">
          <a:extLs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7" name="Picture 152" descr="http://golfeur.qc.ca/filler.gif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8" name="Picture 153" descr="http://golfeur.qc.ca/filler.gif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9" name="Picture 154" descr="http://golfeur.qc.ca/filler.gif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0" name="Picture 155" descr="http://golfeur.qc.ca/filler.gif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1" name="Picture 156" descr="http://golfeur.qc.ca/filler.gif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2" name="Picture 157" descr="http://golfeur.qc.ca/filler.gif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3" name="Picture 158" descr="http://golfeur.qc.ca/filler.gif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84" name="Picture 159" descr="http://golfeur.qc.ca/filler.gif">
          <a:extLs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258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6" name="Picture 181" descr="http://golfeur.qc.ca/filler.gif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7" name="Picture 182" descr="http://golfeur.qc.ca/filler.gif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8" name="Picture 183" descr="http://golfeur.qc.ca/filler.gif">
          <a:extLs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9" name="Picture 184" descr="http://golfeur.qc.ca/filler.gif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0" name="Picture 185" descr="http://golfeur.qc.ca/filler.gif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1" name="Picture 186" descr="http://golfeur.qc.ca/filler.gif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2" name="Picture 187" descr="http://golfeur.qc.ca/filler.gif">
          <a:extLs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3" name="Picture 188" descr="http://golfeur.qc.ca/filler.gif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4" name="Picture 189" descr="http://golfeur.qc.ca/filler.gif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5" name="Picture 190" descr="http://golfeur.qc.ca/filler.gif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6" name="Picture 191" descr="http://golfeur.qc.ca/filler.gif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7" name="Picture 192" descr="http://golfeur.qc.ca/filler.gif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8" name="Picture 193" descr="http://golfeur.qc.ca/filler.gif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9" name="Picture 194" descr="http://golfeur.qc.ca/filler.gif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0" name="Picture 195" descr="http://golfeur.qc.ca/filler.gif">
          <a:extLs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1" name="Picture 196" descr="http://golfeur.qc.ca/filler.gif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2" name="Picture 197" descr="http://golfeur.qc.ca/filler.gif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3" name="Picture 198" descr="http://golfeur.qc.ca/filler.gif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4" name="Picture 199" descr="http://golfeur.qc.ca/filler.gif">
          <a:extLs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5" name="Picture 200" descr="http://golfeur.qc.ca/filler.gif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6" name="Picture 201" descr="http://golfeur.qc.ca/filler.gif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95250</xdr:colOff>
      <xdr:row>24</xdr:row>
      <xdr:rowOff>95250</xdr:rowOff>
    </xdr:to>
    <xdr:pic>
      <xdr:nvPicPr>
        <xdr:cNvPr id="578" name="Image 577" descr="http://golfeur.qc.ca/filler.gif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1820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95250</xdr:colOff>
      <xdr:row>24</xdr:row>
      <xdr:rowOff>95250</xdr:rowOff>
    </xdr:to>
    <xdr:pic>
      <xdr:nvPicPr>
        <xdr:cNvPr id="579" name="Image 578" descr="http://golfeur.qc.ca/filler.gif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17633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24</xdr:row>
      <xdr:rowOff>0</xdr:rowOff>
    </xdr:from>
    <xdr:to>
      <xdr:col>15</xdr:col>
      <xdr:colOff>95250</xdr:colOff>
      <xdr:row>24</xdr:row>
      <xdr:rowOff>95250</xdr:rowOff>
    </xdr:to>
    <xdr:pic>
      <xdr:nvPicPr>
        <xdr:cNvPr id="580" name="Image 579" descr="http://golfeur.qc.ca/filler.gif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3375" y="117633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95250</xdr:colOff>
      <xdr:row>24</xdr:row>
      <xdr:rowOff>95250</xdr:rowOff>
    </xdr:to>
    <xdr:pic>
      <xdr:nvPicPr>
        <xdr:cNvPr id="581" name="Image 580" descr="http://golfeur.qc.ca/filler.gif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24</xdr:row>
      <xdr:rowOff>0</xdr:rowOff>
    </xdr:from>
    <xdr:to>
      <xdr:col>13</xdr:col>
      <xdr:colOff>95250</xdr:colOff>
      <xdr:row>24</xdr:row>
      <xdr:rowOff>95250</xdr:rowOff>
    </xdr:to>
    <xdr:pic>
      <xdr:nvPicPr>
        <xdr:cNvPr id="582" name="Image 581" descr="http://golfeur.qc.ca/filler.gif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27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95250</xdr:colOff>
      <xdr:row>24</xdr:row>
      <xdr:rowOff>95250</xdr:rowOff>
    </xdr:to>
    <xdr:pic>
      <xdr:nvPicPr>
        <xdr:cNvPr id="583" name="Image 582" descr="http://golfeur.qc.ca/filler.gif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13</xdr:col>
      <xdr:colOff>0</xdr:colOff>
      <xdr:row>24</xdr:row>
      <xdr:rowOff>0</xdr:rowOff>
    </xdr:from>
    <xdr:ext cx="95250" cy="95250"/>
    <xdr:pic>
      <xdr:nvPicPr>
        <xdr:cNvPr id="584" name="Image 583" descr="http://golfeur.qc.ca/filler.gif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24</xdr:row>
      <xdr:rowOff>0</xdr:rowOff>
    </xdr:from>
    <xdr:ext cx="95250" cy="95250"/>
    <xdr:pic>
      <xdr:nvPicPr>
        <xdr:cNvPr id="585" name="Image 584" descr="http://golfeur.qc.ca/filler.gif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24</xdr:row>
      <xdr:rowOff>0</xdr:rowOff>
    </xdr:from>
    <xdr:ext cx="95250" cy="95250"/>
    <xdr:pic>
      <xdr:nvPicPr>
        <xdr:cNvPr id="587" name="Image 586" descr="http://golfeur.qc.ca/filler.gif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33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4</xdr:col>
      <xdr:colOff>0</xdr:colOff>
      <xdr:row>35</xdr:row>
      <xdr:rowOff>0</xdr:rowOff>
    </xdr:from>
    <xdr:to>
      <xdr:col>4</xdr:col>
      <xdr:colOff>28575</xdr:colOff>
      <xdr:row>35</xdr:row>
      <xdr:rowOff>47625</xdr:rowOff>
    </xdr:to>
    <xdr:pic>
      <xdr:nvPicPr>
        <xdr:cNvPr id="633" name="Image 632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050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35</xdr:row>
      <xdr:rowOff>0</xdr:rowOff>
    </xdr:from>
    <xdr:to>
      <xdr:col>6</xdr:col>
      <xdr:colOff>28575</xdr:colOff>
      <xdr:row>35</xdr:row>
      <xdr:rowOff>47625</xdr:rowOff>
    </xdr:to>
    <xdr:pic>
      <xdr:nvPicPr>
        <xdr:cNvPr id="634" name="Image 633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956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35</xdr:row>
      <xdr:rowOff>0</xdr:rowOff>
    </xdr:from>
    <xdr:to>
      <xdr:col>10</xdr:col>
      <xdr:colOff>28575</xdr:colOff>
      <xdr:row>35</xdr:row>
      <xdr:rowOff>47625</xdr:rowOff>
    </xdr:to>
    <xdr:pic>
      <xdr:nvPicPr>
        <xdr:cNvPr id="635" name="Image 634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768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35</xdr:row>
      <xdr:rowOff>0</xdr:rowOff>
    </xdr:from>
    <xdr:to>
      <xdr:col>12</xdr:col>
      <xdr:colOff>28575</xdr:colOff>
      <xdr:row>35</xdr:row>
      <xdr:rowOff>47625</xdr:rowOff>
    </xdr:to>
    <xdr:pic>
      <xdr:nvPicPr>
        <xdr:cNvPr id="636" name="Image 635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674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35</xdr:row>
      <xdr:rowOff>0</xdr:rowOff>
    </xdr:from>
    <xdr:to>
      <xdr:col>5</xdr:col>
      <xdr:colOff>28575</xdr:colOff>
      <xdr:row>35</xdr:row>
      <xdr:rowOff>47625</xdr:rowOff>
    </xdr:to>
    <xdr:pic>
      <xdr:nvPicPr>
        <xdr:cNvPr id="639" name="Image 638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1094422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35</xdr:row>
      <xdr:rowOff>0</xdr:rowOff>
    </xdr:from>
    <xdr:to>
      <xdr:col>14</xdr:col>
      <xdr:colOff>28575</xdr:colOff>
      <xdr:row>35</xdr:row>
      <xdr:rowOff>47625</xdr:rowOff>
    </xdr:to>
    <xdr:pic>
      <xdr:nvPicPr>
        <xdr:cNvPr id="640" name="Image 639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8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094422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1457325</xdr:colOff>
          <xdr:row>0</xdr:row>
          <xdr:rowOff>47625</xdr:rowOff>
        </xdr:from>
        <xdr:to>
          <xdr:col>2</xdr:col>
          <xdr:colOff>2371725</xdr:colOff>
          <xdr:row>1</xdr:row>
          <xdr:rowOff>76200</xdr:rowOff>
        </xdr:to>
        <xdr:sp macro="" textlink="">
          <xdr:nvSpPr>
            <xdr:cNvPr id="2049" name="Bou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Club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0</xdr:row>
          <xdr:rowOff>47625</xdr:rowOff>
        </xdr:from>
        <xdr:to>
          <xdr:col>5</xdr:col>
          <xdr:colOff>523875</xdr:colOff>
          <xdr:row>1</xdr:row>
          <xdr:rowOff>76200</xdr:rowOff>
        </xdr:to>
        <xdr:sp macro="" textlink="">
          <xdr:nvSpPr>
            <xdr:cNvPr id="4097" name="Bou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Parcours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47625</xdr:rowOff>
        </xdr:from>
        <xdr:to>
          <xdr:col>9</xdr:col>
          <xdr:colOff>361950</xdr:colOff>
          <xdr:row>1</xdr:row>
          <xdr:rowOff>9525</xdr:rowOff>
        </xdr:to>
        <xdr:sp macro="" textlink="">
          <xdr:nvSpPr>
            <xdr:cNvPr id="5121" name="Bou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Blocs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3" name="Image 2" descr="http://golfeur.qc.ca/filler.gif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4" name="Image 3" descr="http://golfeur.qc.ca/filler.gif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95250</xdr:colOff>
      <xdr:row>11</xdr:row>
      <xdr:rowOff>95250</xdr:rowOff>
    </xdr:to>
    <xdr:pic>
      <xdr:nvPicPr>
        <xdr:cNvPr id="5" name="Image 4" descr="http://golfeur.qc.ca/filler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6" name="Image 5" descr="http://golfeur.qc.ca/filler.gif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7" name="Image 6" descr="http://golfeur.qc.ca/filler.gif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95250</xdr:colOff>
      <xdr:row>11</xdr:row>
      <xdr:rowOff>95250</xdr:rowOff>
    </xdr:to>
    <xdr:pic>
      <xdr:nvPicPr>
        <xdr:cNvPr id="8" name="Image 7" descr="http://golfeur.qc.ca/filler.gif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5019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9" name="Image 8" descr="http://golfeur.qc.ca/filler.gif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11</xdr:row>
      <xdr:rowOff>0</xdr:rowOff>
    </xdr:from>
    <xdr:ext cx="95250" cy="95250"/>
    <xdr:pic>
      <xdr:nvPicPr>
        <xdr:cNvPr id="10" name="Image 9" descr="http://golfeur.qc.ca/filler.gif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11</xdr:row>
      <xdr:rowOff>0</xdr:rowOff>
    </xdr:from>
    <xdr:ext cx="95250" cy="95250"/>
    <xdr:pic>
      <xdr:nvPicPr>
        <xdr:cNvPr id="11" name="Image 10" descr="http://golfeur.qc.ca/filler.gif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2" name="Image 11" descr="http://golfeur.qc.ca/filler.gif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0</xdr:rowOff>
    </xdr:from>
    <xdr:ext cx="95250" cy="95250"/>
    <xdr:pic>
      <xdr:nvPicPr>
        <xdr:cNvPr id="13" name="Image 12" descr="http://golfeur.qc.ca/filler.gif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4" name="Image 13" descr="http://golfeur.qc.ca/filler.gif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13</xdr:row>
      <xdr:rowOff>0</xdr:rowOff>
    </xdr:from>
    <xdr:ext cx="95250" cy="95250"/>
    <xdr:pic>
      <xdr:nvPicPr>
        <xdr:cNvPr id="15" name="Image 14" descr="http://golfeur.qc.ca/filler.gif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3057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golfidsmontreal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Z55"/>
  <sheetViews>
    <sheetView tabSelected="1" topLeftCell="B36" workbookViewId="0">
      <selection activeCell="N44" sqref="N44"/>
    </sheetView>
  </sheetViews>
  <sheetFormatPr baseColWidth="10" defaultRowHeight="15" x14ac:dyDescent="0.25"/>
  <cols>
    <col min="1" max="1" width="7.28515625" customWidth="1"/>
    <col min="2" max="2" width="8.5703125" customWidth="1"/>
    <col min="3" max="3" width="14.28515625" bestFit="1" customWidth="1"/>
    <col min="4" max="22" width="7.42578125" customWidth="1"/>
    <col min="23" max="26" width="10.140625" customWidth="1"/>
  </cols>
  <sheetData>
    <row r="2" spans="2:26" x14ac:dyDescent="0.25">
      <c r="C2" s="1" t="s">
        <v>0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 t="s">
        <v>1</v>
      </c>
      <c r="N2" s="2">
        <v>10</v>
      </c>
      <c r="O2" s="2">
        <v>11</v>
      </c>
      <c r="P2" s="2">
        <v>12</v>
      </c>
      <c r="Q2" s="2">
        <v>13</v>
      </c>
      <c r="R2" s="2">
        <v>14</v>
      </c>
      <c r="S2" s="2">
        <v>15</v>
      </c>
      <c r="T2" s="2">
        <v>16</v>
      </c>
      <c r="U2" s="2">
        <v>17</v>
      </c>
      <c r="V2" s="2">
        <v>18</v>
      </c>
      <c r="W2" s="2" t="s">
        <v>2</v>
      </c>
      <c r="X2" s="2" t="s">
        <v>3</v>
      </c>
      <c r="Y2" s="2" t="s">
        <v>4</v>
      </c>
      <c r="Z2" s="2" t="s">
        <v>5</v>
      </c>
    </row>
    <row r="3" spans="2:26" x14ac:dyDescent="0.25">
      <c r="B3">
        <v>36</v>
      </c>
      <c r="C3" s="4" t="s">
        <v>6</v>
      </c>
      <c r="D3" s="4">
        <v>4</v>
      </c>
      <c r="E3" s="4">
        <v>4</v>
      </c>
      <c r="F3" s="4">
        <v>3</v>
      </c>
      <c r="G3" s="4">
        <v>4</v>
      </c>
      <c r="H3" s="4">
        <v>5</v>
      </c>
      <c r="I3" s="4">
        <v>4</v>
      </c>
      <c r="J3" s="4">
        <v>3</v>
      </c>
      <c r="K3" s="4">
        <v>3</v>
      </c>
      <c r="L3" s="4">
        <v>5</v>
      </c>
      <c r="M3" s="4">
        <v>35</v>
      </c>
      <c r="N3" s="4">
        <v>5</v>
      </c>
      <c r="O3" s="4">
        <v>4</v>
      </c>
      <c r="P3" s="4">
        <v>4</v>
      </c>
      <c r="Q3" s="4">
        <v>3</v>
      </c>
      <c r="R3" s="4">
        <v>4</v>
      </c>
      <c r="S3" s="4">
        <v>4</v>
      </c>
      <c r="T3" s="4">
        <v>5</v>
      </c>
      <c r="U3" s="4">
        <v>3</v>
      </c>
      <c r="V3" s="4">
        <v>4</v>
      </c>
      <c r="W3" s="4">
        <v>36</v>
      </c>
      <c r="X3" s="4">
        <v>71</v>
      </c>
      <c r="Y3" s="3"/>
      <c r="Z3" s="3"/>
    </row>
    <row r="4" spans="2:26" x14ac:dyDescent="0.25">
      <c r="B4">
        <v>36</v>
      </c>
      <c r="C4" s="12" t="s">
        <v>11</v>
      </c>
      <c r="D4" s="12">
        <v>427</v>
      </c>
      <c r="E4" s="12">
        <v>415</v>
      </c>
      <c r="F4" s="12">
        <v>130</v>
      </c>
      <c r="G4" s="12">
        <v>413</v>
      </c>
      <c r="H4" s="12">
        <v>546</v>
      </c>
      <c r="I4" s="12">
        <v>314</v>
      </c>
      <c r="J4" s="12">
        <v>150</v>
      </c>
      <c r="K4" s="12">
        <v>178</v>
      </c>
      <c r="L4" s="12">
        <v>470</v>
      </c>
      <c r="M4" s="12">
        <v>3043</v>
      </c>
      <c r="N4" s="12">
        <v>535</v>
      </c>
      <c r="O4" s="12">
        <v>340</v>
      </c>
      <c r="P4" s="12">
        <v>397</v>
      </c>
      <c r="Q4" s="12">
        <v>180</v>
      </c>
      <c r="R4" s="12">
        <v>370</v>
      </c>
      <c r="S4" s="12">
        <v>341</v>
      </c>
      <c r="T4" s="12">
        <v>500</v>
      </c>
      <c r="U4" s="12">
        <v>172</v>
      </c>
      <c r="V4" s="12">
        <v>386</v>
      </c>
      <c r="W4" s="12">
        <v>3221</v>
      </c>
      <c r="X4" s="12">
        <v>6264</v>
      </c>
      <c r="Y4" s="12">
        <v>70</v>
      </c>
      <c r="Z4" s="12">
        <v>128</v>
      </c>
    </row>
    <row r="5" spans="2:26" x14ac:dyDescent="0.25">
      <c r="B5">
        <v>36</v>
      </c>
      <c r="C5" s="6" t="s">
        <v>8</v>
      </c>
      <c r="D5" s="6">
        <v>427</v>
      </c>
      <c r="E5" s="6">
        <v>415</v>
      </c>
      <c r="F5" s="6">
        <v>130</v>
      </c>
      <c r="G5" s="6">
        <v>392</v>
      </c>
      <c r="H5" s="6">
        <v>516</v>
      </c>
      <c r="I5" s="6">
        <v>314</v>
      </c>
      <c r="J5" s="6">
        <v>140</v>
      </c>
      <c r="K5" s="6">
        <v>178</v>
      </c>
      <c r="L5" s="6">
        <v>470</v>
      </c>
      <c r="M5" s="6">
        <v>2982</v>
      </c>
      <c r="N5" s="6">
        <v>535</v>
      </c>
      <c r="O5" s="6">
        <v>340</v>
      </c>
      <c r="P5" s="6">
        <v>390</v>
      </c>
      <c r="Q5" s="6">
        <v>180</v>
      </c>
      <c r="R5" s="6">
        <v>370</v>
      </c>
      <c r="S5" s="6">
        <v>341</v>
      </c>
      <c r="T5" s="6">
        <v>495</v>
      </c>
      <c r="U5" s="6">
        <v>172</v>
      </c>
      <c r="V5" s="6">
        <v>386</v>
      </c>
      <c r="W5" s="6">
        <v>3209</v>
      </c>
      <c r="X5" s="6">
        <v>6191</v>
      </c>
      <c r="Y5" s="6">
        <v>69.8</v>
      </c>
      <c r="Z5" s="6">
        <v>127</v>
      </c>
    </row>
    <row r="6" spans="2:26" x14ac:dyDescent="0.25">
      <c r="B6">
        <v>36</v>
      </c>
      <c r="C6" s="5" t="s">
        <v>7</v>
      </c>
      <c r="D6" s="5">
        <v>412</v>
      </c>
      <c r="E6" s="5">
        <v>385</v>
      </c>
      <c r="F6" s="5">
        <v>120</v>
      </c>
      <c r="G6" s="5">
        <v>376</v>
      </c>
      <c r="H6" s="5">
        <v>462</v>
      </c>
      <c r="I6" s="5">
        <v>304</v>
      </c>
      <c r="J6" s="5">
        <v>130</v>
      </c>
      <c r="K6" s="5">
        <v>167</v>
      </c>
      <c r="L6" s="5">
        <v>460</v>
      </c>
      <c r="M6" s="5">
        <v>2816</v>
      </c>
      <c r="N6" s="5">
        <v>520</v>
      </c>
      <c r="O6" s="5">
        <v>330</v>
      </c>
      <c r="P6" s="5">
        <v>345</v>
      </c>
      <c r="Q6" s="5">
        <v>170</v>
      </c>
      <c r="R6" s="5">
        <v>350</v>
      </c>
      <c r="S6" s="5">
        <v>331</v>
      </c>
      <c r="T6" s="5">
        <v>460</v>
      </c>
      <c r="U6" s="5">
        <v>160</v>
      </c>
      <c r="V6" s="5">
        <v>362</v>
      </c>
      <c r="W6" s="5">
        <v>3028</v>
      </c>
      <c r="X6" s="5">
        <v>5844</v>
      </c>
      <c r="Y6" s="5">
        <v>67.8</v>
      </c>
      <c r="Z6" s="5">
        <v>120</v>
      </c>
    </row>
    <row r="7" spans="2:26" x14ac:dyDescent="0.25">
      <c r="B7">
        <v>36</v>
      </c>
      <c r="C7" s="9"/>
      <c r="D7" s="5">
        <v>1</v>
      </c>
      <c r="E7" s="5">
        <v>5</v>
      </c>
      <c r="F7" s="5">
        <v>11</v>
      </c>
      <c r="G7" s="5">
        <v>3</v>
      </c>
      <c r="H7" s="5">
        <v>9</v>
      </c>
      <c r="I7" s="5">
        <v>15</v>
      </c>
      <c r="J7" s="5">
        <v>13</v>
      </c>
      <c r="K7" s="5">
        <v>7</v>
      </c>
      <c r="L7" s="5">
        <v>17</v>
      </c>
      <c r="M7" s="9"/>
      <c r="N7" s="5">
        <v>12</v>
      </c>
      <c r="O7" s="5">
        <v>4</v>
      </c>
      <c r="P7" s="5">
        <v>8</v>
      </c>
      <c r="Q7" s="5">
        <v>10</v>
      </c>
      <c r="R7" s="5">
        <v>2</v>
      </c>
      <c r="S7" s="5">
        <v>18</v>
      </c>
      <c r="T7" s="5">
        <v>16</v>
      </c>
      <c r="U7" s="5">
        <v>6</v>
      </c>
      <c r="V7" s="5">
        <v>14</v>
      </c>
      <c r="W7" s="9"/>
      <c r="X7" s="9"/>
      <c r="Y7" s="11"/>
      <c r="Z7" s="11"/>
    </row>
    <row r="8" spans="2:26" x14ac:dyDescent="0.25">
      <c r="B8">
        <v>36</v>
      </c>
      <c r="C8" s="50" t="s">
        <v>10</v>
      </c>
      <c r="D8" s="50">
        <v>405</v>
      </c>
      <c r="E8" s="50">
        <v>370</v>
      </c>
      <c r="F8" s="50">
        <v>120</v>
      </c>
      <c r="G8" s="50">
        <v>362</v>
      </c>
      <c r="H8" s="50">
        <v>385</v>
      </c>
      <c r="I8" s="50">
        <v>304</v>
      </c>
      <c r="J8" s="50">
        <v>120</v>
      </c>
      <c r="K8" s="50">
        <v>167</v>
      </c>
      <c r="L8" s="50">
        <v>402</v>
      </c>
      <c r="M8" s="50">
        <v>2635</v>
      </c>
      <c r="N8" s="50">
        <v>460</v>
      </c>
      <c r="O8" s="50">
        <v>330</v>
      </c>
      <c r="P8" s="50">
        <v>300</v>
      </c>
      <c r="Q8" s="50">
        <v>170</v>
      </c>
      <c r="R8" s="50">
        <v>340</v>
      </c>
      <c r="S8" s="50">
        <v>331</v>
      </c>
      <c r="T8" s="50">
        <v>435</v>
      </c>
      <c r="U8" s="50">
        <v>140</v>
      </c>
      <c r="V8" s="50">
        <v>345</v>
      </c>
      <c r="W8" s="50">
        <v>2851</v>
      </c>
      <c r="X8" s="50">
        <v>5486</v>
      </c>
      <c r="Y8" s="8" t="s">
        <v>12</v>
      </c>
      <c r="Z8" s="8" t="s">
        <v>14</v>
      </c>
    </row>
    <row r="9" spans="2:26" x14ac:dyDescent="0.25">
      <c r="B9">
        <v>36</v>
      </c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8" t="s">
        <v>13</v>
      </c>
      <c r="Z9" s="8" t="s">
        <v>15</v>
      </c>
    </row>
    <row r="10" spans="2:26" x14ac:dyDescent="0.25">
      <c r="B10">
        <v>36</v>
      </c>
      <c r="C10" s="7" t="s">
        <v>9</v>
      </c>
      <c r="D10" s="7">
        <v>311</v>
      </c>
      <c r="E10" s="7">
        <v>315</v>
      </c>
      <c r="F10" s="7">
        <v>110</v>
      </c>
      <c r="G10" s="7">
        <v>290</v>
      </c>
      <c r="H10" s="7">
        <v>351</v>
      </c>
      <c r="I10" s="7">
        <v>296</v>
      </c>
      <c r="J10" s="7">
        <v>115</v>
      </c>
      <c r="K10" s="7">
        <v>156</v>
      </c>
      <c r="L10" s="7">
        <v>395</v>
      </c>
      <c r="M10" s="7">
        <v>2339</v>
      </c>
      <c r="N10" s="7">
        <v>456</v>
      </c>
      <c r="O10" s="7">
        <v>305</v>
      </c>
      <c r="P10" s="7">
        <v>272</v>
      </c>
      <c r="Q10" s="7">
        <v>158</v>
      </c>
      <c r="R10" s="7">
        <v>280</v>
      </c>
      <c r="S10" s="7">
        <v>326</v>
      </c>
      <c r="T10" s="7">
        <v>420</v>
      </c>
      <c r="U10" s="7">
        <v>115</v>
      </c>
      <c r="V10" s="7">
        <v>345</v>
      </c>
      <c r="W10" s="7">
        <v>2677</v>
      </c>
      <c r="X10" s="7">
        <v>5016</v>
      </c>
      <c r="Y10" s="7">
        <v>68.8</v>
      </c>
      <c r="Z10" s="7">
        <v>118</v>
      </c>
    </row>
    <row r="11" spans="2:26" x14ac:dyDescent="0.25">
      <c r="B11">
        <v>36</v>
      </c>
      <c r="C11" s="10"/>
      <c r="D11" s="7">
        <v>3</v>
      </c>
      <c r="E11" s="7">
        <v>1</v>
      </c>
      <c r="F11" s="7">
        <v>11</v>
      </c>
      <c r="G11" s="7">
        <v>17</v>
      </c>
      <c r="H11" s="7">
        <v>15</v>
      </c>
      <c r="I11" s="7">
        <v>5</v>
      </c>
      <c r="J11" s="7">
        <v>7</v>
      </c>
      <c r="K11" s="7">
        <v>9</v>
      </c>
      <c r="L11" s="7">
        <v>13</v>
      </c>
      <c r="M11" s="10"/>
      <c r="N11" s="7">
        <v>8</v>
      </c>
      <c r="O11" s="7">
        <v>6</v>
      </c>
      <c r="P11" s="7">
        <v>18</v>
      </c>
      <c r="Q11" s="7">
        <v>12</v>
      </c>
      <c r="R11" s="7">
        <v>2</v>
      </c>
      <c r="S11" s="7">
        <v>14</v>
      </c>
      <c r="T11" s="7">
        <v>16</v>
      </c>
      <c r="U11" s="7">
        <v>10</v>
      </c>
      <c r="V11" s="7">
        <v>4</v>
      </c>
      <c r="W11" s="10"/>
      <c r="X11" s="10"/>
      <c r="Y11" s="10"/>
      <c r="Z11" s="10"/>
    </row>
    <row r="12" spans="2:26" x14ac:dyDescent="0.25"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/>
      <c r="X12" s="51"/>
      <c r="Y12" s="51"/>
      <c r="Z12" s="51"/>
    </row>
    <row r="14" spans="2:26" ht="15.75" x14ac:dyDescent="0.25">
      <c r="D14" s="14">
        <v>1</v>
      </c>
      <c r="E14" s="14">
        <v>2</v>
      </c>
      <c r="F14" s="14">
        <v>3</v>
      </c>
      <c r="G14" s="14">
        <v>4</v>
      </c>
      <c r="H14" s="14">
        <v>5</v>
      </c>
      <c r="I14" s="14">
        <v>6</v>
      </c>
      <c r="J14" s="14">
        <v>7</v>
      </c>
      <c r="K14" s="14">
        <v>8</v>
      </c>
      <c r="L14" s="14">
        <v>9</v>
      </c>
      <c r="M14" s="14" t="s">
        <v>16</v>
      </c>
      <c r="N14" s="14">
        <v>10</v>
      </c>
      <c r="O14" s="14">
        <v>11</v>
      </c>
      <c r="P14" s="14">
        <v>12</v>
      </c>
      <c r="Q14" s="14">
        <v>13</v>
      </c>
      <c r="R14" s="14">
        <v>14</v>
      </c>
      <c r="S14" s="14">
        <v>15</v>
      </c>
      <c r="T14" s="14">
        <v>16</v>
      </c>
      <c r="U14" s="14">
        <v>17</v>
      </c>
      <c r="V14" s="14">
        <v>18</v>
      </c>
      <c r="W14" s="14" t="s">
        <v>17</v>
      </c>
    </row>
    <row r="15" spans="2:26" ht="15.75" x14ac:dyDescent="0.25">
      <c r="B15">
        <v>571</v>
      </c>
      <c r="C15" s="14" t="s">
        <v>11</v>
      </c>
      <c r="D15" s="18">
        <v>374</v>
      </c>
      <c r="E15" s="18">
        <v>414</v>
      </c>
      <c r="F15" s="18">
        <v>177</v>
      </c>
      <c r="G15" s="18">
        <v>538</v>
      </c>
      <c r="H15" s="18">
        <v>443</v>
      </c>
      <c r="I15" s="18">
        <v>406</v>
      </c>
      <c r="J15" s="18">
        <v>167</v>
      </c>
      <c r="K15" s="18">
        <v>509</v>
      </c>
      <c r="L15" s="18">
        <v>410</v>
      </c>
      <c r="M15" s="19">
        <v>3438</v>
      </c>
      <c r="N15" s="18">
        <v>412</v>
      </c>
      <c r="O15" s="18">
        <v>191</v>
      </c>
      <c r="P15" s="18">
        <v>403</v>
      </c>
      <c r="Q15" s="18">
        <v>528</v>
      </c>
      <c r="R15" s="18">
        <v>375</v>
      </c>
      <c r="S15" s="18">
        <v>415</v>
      </c>
      <c r="T15" s="18">
        <v>530</v>
      </c>
      <c r="U15" s="18">
        <v>204</v>
      </c>
      <c r="V15" s="18">
        <v>455</v>
      </c>
      <c r="W15" s="19">
        <v>3513</v>
      </c>
      <c r="X15" s="19">
        <v>6951</v>
      </c>
      <c r="Y15" s="13">
        <v>74.3</v>
      </c>
      <c r="Z15" s="13">
        <v>146</v>
      </c>
    </row>
    <row r="16" spans="2:26" ht="15.75" x14ac:dyDescent="0.25">
      <c r="B16">
        <v>571</v>
      </c>
      <c r="C16" s="14" t="s">
        <v>8</v>
      </c>
      <c r="D16" s="22">
        <v>338</v>
      </c>
      <c r="E16" s="22">
        <v>380</v>
      </c>
      <c r="F16" s="22">
        <v>162</v>
      </c>
      <c r="G16" s="22">
        <v>516</v>
      </c>
      <c r="H16" s="22">
        <v>403</v>
      </c>
      <c r="I16" s="22">
        <v>365</v>
      </c>
      <c r="J16" s="22">
        <v>140</v>
      </c>
      <c r="K16" s="22">
        <v>474</v>
      </c>
      <c r="L16" s="22">
        <v>378</v>
      </c>
      <c r="M16" s="23">
        <v>3156</v>
      </c>
      <c r="N16" s="22">
        <v>388</v>
      </c>
      <c r="O16" s="22">
        <v>174</v>
      </c>
      <c r="P16" s="22">
        <v>374</v>
      </c>
      <c r="Q16" s="22">
        <v>480</v>
      </c>
      <c r="R16" s="22">
        <v>342</v>
      </c>
      <c r="S16" s="22">
        <v>388</v>
      </c>
      <c r="T16" s="22">
        <v>489</v>
      </c>
      <c r="U16" s="22">
        <v>182</v>
      </c>
      <c r="V16" s="22">
        <v>392</v>
      </c>
      <c r="W16" s="23">
        <v>3209</v>
      </c>
      <c r="X16" s="23">
        <v>6365</v>
      </c>
      <c r="Y16" s="13">
        <v>71.400000000000006</v>
      </c>
      <c r="Z16" s="13">
        <v>139</v>
      </c>
    </row>
    <row r="17" spans="2:26" x14ac:dyDescent="0.25">
      <c r="B17">
        <v>571</v>
      </c>
      <c r="C17" s="15" t="s">
        <v>7</v>
      </c>
      <c r="D17" s="24">
        <v>292</v>
      </c>
      <c r="E17" s="24">
        <v>347</v>
      </c>
      <c r="F17" s="24">
        <v>135</v>
      </c>
      <c r="G17" s="24">
        <v>460</v>
      </c>
      <c r="H17" s="24">
        <v>329</v>
      </c>
      <c r="I17" s="24">
        <v>342</v>
      </c>
      <c r="J17" s="24">
        <v>139</v>
      </c>
      <c r="K17" s="24">
        <v>439</v>
      </c>
      <c r="L17" s="24">
        <v>335</v>
      </c>
      <c r="M17" s="25">
        <v>2818</v>
      </c>
      <c r="N17" s="24">
        <v>330</v>
      </c>
      <c r="O17" s="24">
        <v>151</v>
      </c>
      <c r="P17" s="24">
        <v>319</v>
      </c>
      <c r="Q17" s="24">
        <v>447</v>
      </c>
      <c r="R17" s="24">
        <v>306</v>
      </c>
      <c r="S17" s="24">
        <v>347</v>
      </c>
      <c r="T17" s="24">
        <v>442</v>
      </c>
      <c r="U17" s="24">
        <v>152</v>
      </c>
      <c r="V17" s="24">
        <v>346</v>
      </c>
      <c r="W17" s="25">
        <v>2840</v>
      </c>
      <c r="X17" s="25">
        <v>5658</v>
      </c>
      <c r="Y17" s="13">
        <v>68.3</v>
      </c>
      <c r="Z17" s="13">
        <v>129</v>
      </c>
    </row>
    <row r="18" spans="2:26" x14ac:dyDescent="0.25">
      <c r="B18">
        <v>571</v>
      </c>
      <c r="C18" s="4" t="s">
        <v>6</v>
      </c>
      <c r="D18" s="19">
        <v>4</v>
      </c>
      <c r="E18" s="19">
        <v>4</v>
      </c>
      <c r="F18" s="19">
        <v>3</v>
      </c>
      <c r="G18" s="19">
        <v>5</v>
      </c>
      <c r="H18" s="19">
        <v>4</v>
      </c>
      <c r="I18" s="19">
        <v>4</v>
      </c>
      <c r="J18" s="19">
        <v>3</v>
      </c>
      <c r="K18" s="19">
        <v>5</v>
      </c>
      <c r="L18" s="19">
        <v>4</v>
      </c>
      <c r="M18" s="19">
        <v>36</v>
      </c>
      <c r="N18" s="19">
        <v>4</v>
      </c>
      <c r="O18" s="19">
        <v>3</v>
      </c>
      <c r="P18" s="19">
        <v>4</v>
      </c>
      <c r="Q18" s="19">
        <v>5</v>
      </c>
      <c r="R18" s="19">
        <v>4</v>
      </c>
      <c r="S18" s="19">
        <v>4</v>
      </c>
      <c r="T18" s="19">
        <v>5</v>
      </c>
      <c r="U18" s="19">
        <v>3</v>
      </c>
      <c r="V18" s="19">
        <v>4</v>
      </c>
      <c r="W18" s="19">
        <v>36</v>
      </c>
      <c r="X18" s="19">
        <v>72</v>
      </c>
    </row>
    <row r="19" spans="2:26" ht="15.75" x14ac:dyDescent="0.25">
      <c r="B19">
        <v>571</v>
      </c>
      <c r="C19" s="14" t="s">
        <v>19</v>
      </c>
      <c r="D19" s="18">
        <v>11</v>
      </c>
      <c r="E19" s="18">
        <v>5</v>
      </c>
      <c r="F19" s="18">
        <v>15</v>
      </c>
      <c r="G19" s="18">
        <v>13</v>
      </c>
      <c r="H19" s="18">
        <v>3</v>
      </c>
      <c r="I19" s="18">
        <v>1</v>
      </c>
      <c r="J19" s="18">
        <v>17</v>
      </c>
      <c r="K19" s="18">
        <v>9</v>
      </c>
      <c r="L19" s="18">
        <v>7</v>
      </c>
      <c r="M19" s="17"/>
      <c r="N19" s="18">
        <v>8</v>
      </c>
      <c r="O19" s="18">
        <v>12</v>
      </c>
      <c r="P19" s="18">
        <v>6</v>
      </c>
      <c r="Q19" s="18">
        <v>18</v>
      </c>
      <c r="R19" s="18">
        <v>4</v>
      </c>
      <c r="S19" s="18">
        <v>10</v>
      </c>
      <c r="T19" s="18">
        <v>16</v>
      </c>
      <c r="U19" s="18">
        <v>14</v>
      </c>
      <c r="V19" s="18">
        <v>2</v>
      </c>
      <c r="W19" s="20"/>
      <c r="X19" s="21"/>
      <c r="Y19" s="13"/>
      <c r="Z19" s="13"/>
    </row>
    <row r="20" spans="2:26" x14ac:dyDescent="0.25">
      <c r="B20">
        <v>571</v>
      </c>
      <c r="C20" s="15" t="s">
        <v>18</v>
      </c>
      <c r="D20" s="26">
        <v>280</v>
      </c>
      <c r="E20" s="26">
        <v>284</v>
      </c>
      <c r="F20" s="26">
        <v>120</v>
      </c>
      <c r="G20" s="26">
        <v>441</v>
      </c>
      <c r="H20" s="26">
        <v>320</v>
      </c>
      <c r="I20" s="26">
        <v>316</v>
      </c>
      <c r="J20" s="26">
        <v>120</v>
      </c>
      <c r="K20" s="26">
        <v>431</v>
      </c>
      <c r="L20" s="26">
        <v>335</v>
      </c>
      <c r="M20" s="27">
        <v>2647</v>
      </c>
      <c r="N20" s="26">
        <v>302</v>
      </c>
      <c r="O20" s="26">
        <v>141</v>
      </c>
      <c r="P20" s="26">
        <v>273</v>
      </c>
      <c r="Q20" s="26">
        <v>437</v>
      </c>
      <c r="R20" s="26">
        <v>306</v>
      </c>
      <c r="S20" s="26">
        <v>314</v>
      </c>
      <c r="T20" s="26">
        <v>438</v>
      </c>
      <c r="U20" s="26">
        <v>152</v>
      </c>
      <c r="V20" s="26">
        <v>311</v>
      </c>
      <c r="W20" s="27">
        <v>2674</v>
      </c>
      <c r="X20" s="27">
        <v>5321</v>
      </c>
      <c r="Y20" s="13">
        <v>71.900000000000006</v>
      </c>
      <c r="Z20" s="13">
        <v>137</v>
      </c>
    </row>
    <row r="21" spans="2:26" ht="15.75" x14ac:dyDescent="0.25">
      <c r="B21">
        <v>571</v>
      </c>
      <c r="C21" s="14" t="s">
        <v>9</v>
      </c>
      <c r="D21" s="28">
        <v>231</v>
      </c>
      <c r="E21" s="28">
        <v>278</v>
      </c>
      <c r="F21" s="28">
        <v>100</v>
      </c>
      <c r="G21" s="28">
        <v>406</v>
      </c>
      <c r="H21" s="28">
        <v>286</v>
      </c>
      <c r="I21" s="28">
        <v>287</v>
      </c>
      <c r="J21" s="28">
        <v>112</v>
      </c>
      <c r="K21" s="28">
        <v>403</v>
      </c>
      <c r="L21" s="28">
        <v>289</v>
      </c>
      <c r="M21" s="29">
        <v>2392</v>
      </c>
      <c r="N21" s="28">
        <v>269</v>
      </c>
      <c r="O21" s="28">
        <v>107</v>
      </c>
      <c r="P21" s="28">
        <v>264</v>
      </c>
      <c r="Q21" s="28">
        <v>382</v>
      </c>
      <c r="R21" s="28">
        <v>268</v>
      </c>
      <c r="S21" s="28">
        <v>306</v>
      </c>
      <c r="T21" s="28">
        <v>385</v>
      </c>
      <c r="U21" s="28">
        <v>123</v>
      </c>
      <c r="V21" s="28">
        <v>306</v>
      </c>
      <c r="W21" s="29">
        <v>2410</v>
      </c>
      <c r="X21" s="29">
        <v>4802</v>
      </c>
      <c r="Y21" s="13">
        <v>69.7</v>
      </c>
      <c r="Z21" s="13">
        <v>127</v>
      </c>
    </row>
    <row r="22" spans="2:26" x14ac:dyDescent="0.25">
      <c r="B22">
        <v>571</v>
      </c>
      <c r="C22" s="4" t="s">
        <v>6</v>
      </c>
      <c r="D22" s="29">
        <v>4</v>
      </c>
      <c r="E22" s="29">
        <v>4</v>
      </c>
      <c r="F22" s="29">
        <v>3</v>
      </c>
      <c r="G22" s="29">
        <v>5</v>
      </c>
      <c r="H22" s="29">
        <v>4</v>
      </c>
      <c r="I22" s="29">
        <v>4</v>
      </c>
      <c r="J22" s="29">
        <v>3</v>
      </c>
      <c r="K22" s="29">
        <v>5</v>
      </c>
      <c r="L22" s="29">
        <v>4</v>
      </c>
      <c r="M22" s="29">
        <v>36</v>
      </c>
      <c r="N22" s="29">
        <v>4</v>
      </c>
      <c r="O22" s="29">
        <v>3</v>
      </c>
      <c r="P22" s="29">
        <v>4</v>
      </c>
      <c r="Q22" s="29">
        <v>5</v>
      </c>
      <c r="R22" s="29">
        <v>4</v>
      </c>
      <c r="S22" s="29">
        <v>4</v>
      </c>
      <c r="T22" s="29">
        <v>5</v>
      </c>
      <c r="U22" s="29">
        <v>3</v>
      </c>
      <c r="V22" s="29">
        <v>4</v>
      </c>
      <c r="W22" s="29">
        <v>36</v>
      </c>
      <c r="X22" s="29">
        <v>71</v>
      </c>
    </row>
    <row r="23" spans="2:26" x14ac:dyDescent="0.25">
      <c r="B23">
        <v>571</v>
      </c>
      <c r="C23" s="16" t="s">
        <v>19</v>
      </c>
      <c r="D23" s="28">
        <v>11</v>
      </c>
      <c r="E23" s="28">
        <v>5</v>
      </c>
      <c r="F23" s="28">
        <v>15</v>
      </c>
      <c r="G23" s="28">
        <v>13</v>
      </c>
      <c r="H23" s="28">
        <v>3</v>
      </c>
      <c r="I23" s="28">
        <v>1</v>
      </c>
      <c r="J23" s="28">
        <v>17</v>
      </c>
      <c r="K23" s="28">
        <v>9</v>
      </c>
      <c r="L23" s="28">
        <v>7</v>
      </c>
      <c r="M23" s="17"/>
      <c r="N23" s="28">
        <v>8</v>
      </c>
      <c r="O23" s="28">
        <v>12</v>
      </c>
      <c r="P23" s="28">
        <v>6</v>
      </c>
      <c r="Q23" s="28">
        <v>18</v>
      </c>
      <c r="R23" s="28">
        <v>4</v>
      </c>
      <c r="S23" s="28">
        <v>10</v>
      </c>
      <c r="T23" s="28">
        <v>16</v>
      </c>
      <c r="U23" s="28">
        <v>14</v>
      </c>
      <c r="V23" s="28">
        <v>2</v>
      </c>
      <c r="W23" s="20"/>
      <c r="X23" s="21"/>
    </row>
    <row r="27" spans="2:26" x14ac:dyDescent="0.25">
      <c r="C27" s="4" t="s">
        <v>6</v>
      </c>
      <c r="D27" s="31">
        <v>4</v>
      </c>
      <c r="E27" s="31">
        <v>4</v>
      </c>
      <c r="F27" s="31">
        <v>4</v>
      </c>
      <c r="G27" s="31">
        <v>4</v>
      </c>
      <c r="H27" s="31">
        <v>3</v>
      </c>
      <c r="I27" s="31">
        <v>5</v>
      </c>
      <c r="J27" s="31">
        <v>4</v>
      </c>
      <c r="K27" s="31">
        <v>4</v>
      </c>
      <c r="L27" s="31">
        <v>4</v>
      </c>
      <c r="M27" s="49">
        <f>SUM(D27:L27)</f>
        <v>36</v>
      </c>
      <c r="N27" s="31">
        <v>4</v>
      </c>
      <c r="O27" s="31">
        <v>3</v>
      </c>
      <c r="P27" s="31">
        <v>5</v>
      </c>
      <c r="Q27" s="31">
        <v>5</v>
      </c>
      <c r="R27" s="31">
        <v>4</v>
      </c>
      <c r="S27" s="31">
        <v>3</v>
      </c>
      <c r="T27" s="31">
        <v>4</v>
      </c>
      <c r="U27" s="31">
        <v>3</v>
      </c>
      <c r="V27" s="31">
        <v>5</v>
      </c>
      <c r="W27" s="49">
        <f>SUM(N27:V27)</f>
        <v>36</v>
      </c>
      <c r="X27" s="49">
        <f>M27+W27</f>
        <v>72</v>
      </c>
    </row>
    <row r="28" spans="2:26" x14ac:dyDescent="0.25">
      <c r="C28" s="15" t="s">
        <v>18</v>
      </c>
      <c r="D28">
        <v>408</v>
      </c>
      <c r="E28">
        <v>375</v>
      </c>
      <c r="F28">
        <v>401</v>
      </c>
      <c r="G28">
        <v>389</v>
      </c>
      <c r="H28">
        <v>204</v>
      </c>
      <c r="I28">
        <v>470</v>
      </c>
      <c r="J28">
        <v>307</v>
      </c>
      <c r="K28">
        <v>345</v>
      </c>
      <c r="L28">
        <v>311</v>
      </c>
      <c r="M28" s="49">
        <f>SUM(D28:L28)</f>
        <v>3210</v>
      </c>
      <c r="N28">
        <v>415</v>
      </c>
      <c r="O28">
        <v>179</v>
      </c>
      <c r="P28">
        <v>589</v>
      </c>
      <c r="Q28">
        <v>555</v>
      </c>
      <c r="R28">
        <v>361</v>
      </c>
      <c r="S28">
        <v>143</v>
      </c>
      <c r="T28">
        <v>360</v>
      </c>
      <c r="U28">
        <v>186</v>
      </c>
      <c r="V28">
        <v>482</v>
      </c>
      <c r="W28" s="49">
        <f>SUM(N28:V28)</f>
        <v>3270</v>
      </c>
      <c r="X28" s="49">
        <f>M28+W28</f>
        <v>6480</v>
      </c>
      <c r="Y28">
        <v>72.400000000000006</v>
      </c>
      <c r="Z28">
        <v>132</v>
      </c>
    </row>
    <row r="29" spans="2:26" ht="15.75" x14ac:dyDescent="0.25">
      <c r="C29" s="14" t="s">
        <v>8</v>
      </c>
      <c r="D29">
        <v>397</v>
      </c>
      <c r="E29">
        <v>348</v>
      </c>
      <c r="F29">
        <v>391</v>
      </c>
      <c r="G29">
        <v>354</v>
      </c>
      <c r="H29">
        <v>195</v>
      </c>
      <c r="I29">
        <v>445</v>
      </c>
      <c r="J29">
        <v>282</v>
      </c>
      <c r="K29">
        <v>332</v>
      </c>
      <c r="L29">
        <v>283</v>
      </c>
      <c r="M29" s="49">
        <f t="shared" ref="M29:M32" si="0">SUM(D29:L29)</f>
        <v>3027</v>
      </c>
      <c r="N29">
        <v>376</v>
      </c>
      <c r="O29">
        <v>161</v>
      </c>
      <c r="P29">
        <v>550</v>
      </c>
      <c r="Q29">
        <v>490</v>
      </c>
      <c r="R29">
        <v>348</v>
      </c>
      <c r="S29">
        <v>143</v>
      </c>
      <c r="T29">
        <v>350</v>
      </c>
      <c r="U29">
        <v>162</v>
      </c>
      <c r="V29">
        <v>472</v>
      </c>
      <c r="W29" s="49">
        <f t="shared" ref="W29:W33" si="1">SUM(N29:V29)</f>
        <v>3052</v>
      </c>
      <c r="X29" s="49">
        <f t="shared" ref="X29:X33" si="2">M29+W29</f>
        <v>6079</v>
      </c>
      <c r="Y29">
        <v>70.099999999999994</v>
      </c>
      <c r="Z29">
        <v>128</v>
      </c>
    </row>
    <row r="30" spans="2:26" x14ac:dyDescent="0.25">
      <c r="C30" s="15" t="s">
        <v>7</v>
      </c>
      <c r="D30">
        <v>386</v>
      </c>
      <c r="E30">
        <v>332</v>
      </c>
      <c r="F30">
        <v>388</v>
      </c>
      <c r="G30">
        <v>268</v>
      </c>
      <c r="H30">
        <v>178</v>
      </c>
      <c r="I30">
        <v>393</v>
      </c>
      <c r="J30">
        <v>271</v>
      </c>
      <c r="K30">
        <v>283</v>
      </c>
      <c r="L30">
        <v>266</v>
      </c>
      <c r="M30" s="49">
        <f t="shared" si="0"/>
        <v>2765</v>
      </c>
      <c r="N30">
        <v>322</v>
      </c>
      <c r="O30">
        <v>139</v>
      </c>
      <c r="P30">
        <v>497</v>
      </c>
      <c r="Q30">
        <v>475</v>
      </c>
      <c r="R30">
        <v>327</v>
      </c>
      <c r="S30">
        <v>138</v>
      </c>
      <c r="T30">
        <v>337</v>
      </c>
      <c r="U30">
        <v>162</v>
      </c>
      <c r="V30">
        <v>457</v>
      </c>
      <c r="W30" s="49">
        <f t="shared" si="1"/>
        <v>2854</v>
      </c>
      <c r="X30" s="49">
        <f t="shared" si="2"/>
        <v>5619</v>
      </c>
      <c r="Y30">
        <v>68.2</v>
      </c>
      <c r="Z30">
        <v>123</v>
      </c>
    </row>
    <row r="31" spans="2:26" ht="15.75" x14ac:dyDescent="0.25">
      <c r="C31" s="14" t="s">
        <v>19</v>
      </c>
      <c r="D31">
        <v>3</v>
      </c>
      <c r="E31">
        <v>9</v>
      </c>
      <c r="F31">
        <v>5</v>
      </c>
      <c r="G31">
        <v>1</v>
      </c>
      <c r="H31">
        <v>11</v>
      </c>
      <c r="I31">
        <v>13</v>
      </c>
      <c r="J31">
        <v>15</v>
      </c>
      <c r="K31">
        <v>7</v>
      </c>
      <c r="L31">
        <v>17</v>
      </c>
      <c r="M31" s="49"/>
      <c r="N31">
        <v>2</v>
      </c>
      <c r="O31">
        <v>16</v>
      </c>
      <c r="P31">
        <v>4</v>
      </c>
      <c r="Q31">
        <v>6</v>
      </c>
      <c r="R31">
        <v>12</v>
      </c>
      <c r="S31">
        <v>18</v>
      </c>
      <c r="T31">
        <v>10</v>
      </c>
      <c r="U31">
        <v>14</v>
      </c>
      <c r="V31">
        <v>8</v>
      </c>
      <c r="W31" s="49"/>
      <c r="X31" s="49"/>
    </row>
    <row r="32" spans="2:26" x14ac:dyDescent="0.25">
      <c r="C32" t="s">
        <v>10</v>
      </c>
      <c r="D32">
        <v>290</v>
      </c>
      <c r="E32">
        <v>297</v>
      </c>
      <c r="F32">
        <v>342</v>
      </c>
      <c r="G32">
        <v>268</v>
      </c>
      <c r="H32">
        <v>161</v>
      </c>
      <c r="I32">
        <v>393</v>
      </c>
      <c r="J32">
        <v>246</v>
      </c>
      <c r="K32">
        <v>283</v>
      </c>
      <c r="L32">
        <v>252</v>
      </c>
      <c r="M32" s="49">
        <f t="shared" si="0"/>
        <v>2532</v>
      </c>
      <c r="N32">
        <v>368</v>
      </c>
      <c r="O32">
        <v>139</v>
      </c>
      <c r="P32">
        <v>456</v>
      </c>
      <c r="Q32">
        <v>390</v>
      </c>
      <c r="R32">
        <v>320</v>
      </c>
      <c r="S32">
        <v>138</v>
      </c>
      <c r="T32">
        <v>303</v>
      </c>
      <c r="U32">
        <v>135</v>
      </c>
      <c r="V32">
        <v>416</v>
      </c>
      <c r="W32" s="49">
        <f t="shared" si="1"/>
        <v>2665</v>
      </c>
      <c r="X32" s="49">
        <f t="shared" si="2"/>
        <v>5197</v>
      </c>
      <c r="Y32">
        <v>70.3</v>
      </c>
      <c r="Z32">
        <v>126</v>
      </c>
    </row>
    <row r="33" spans="3:26" ht="15.75" x14ac:dyDescent="0.25">
      <c r="C33" s="14" t="s">
        <v>9</v>
      </c>
      <c r="D33">
        <v>290</v>
      </c>
      <c r="E33">
        <v>297</v>
      </c>
      <c r="F33">
        <v>342</v>
      </c>
      <c r="G33">
        <v>268</v>
      </c>
      <c r="H33">
        <v>145</v>
      </c>
      <c r="I33">
        <v>393</v>
      </c>
      <c r="J33">
        <v>215</v>
      </c>
      <c r="K33">
        <v>110</v>
      </c>
      <c r="L33">
        <v>225</v>
      </c>
      <c r="M33" s="49">
        <f>SUM(D33:L33)</f>
        <v>2285</v>
      </c>
      <c r="N33">
        <v>368</v>
      </c>
      <c r="O33">
        <v>139</v>
      </c>
      <c r="P33">
        <v>426</v>
      </c>
      <c r="Q33">
        <v>390</v>
      </c>
      <c r="R33">
        <v>225</v>
      </c>
      <c r="S33">
        <v>138</v>
      </c>
      <c r="T33">
        <v>303</v>
      </c>
      <c r="U33">
        <v>135</v>
      </c>
      <c r="V33">
        <v>416</v>
      </c>
      <c r="W33" s="49">
        <f t="shared" si="1"/>
        <v>2540</v>
      </c>
      <c r="X33" s="49">
        <f t="shared" si="2"/>
        <v>4825</v>
      </c>
      <c r="Y33">
        <v>68.7</v>
      </c>
      <c r="Z33">
        <v>107</v>
      </c>
    </row>
    <row r="34" spans="3:26" ht="15.75" x14ac:dyDescent="0.25">
      <c r="C34" s="14" t="s">
        <v>19</v>
      </c>
      <c r="D34">
        <v>9</v>
      </c>
      <c r="E34">
        <v>7</v>
      </c>
      <c r="F34">
        <v>3</v>
      </c>
      <c r="G34">
        <v>17</v>
      </c>
      <c r="H34">
        <v>13</v>
      </c>
      <c r="I34">
        <v>5</v>
      </c>
      <c r="J34">
        <v>11</v>
      </c>
      <c r="K34">
        <v>1</v>
      </c>
      <c r="L34">
        <v>15</v>
      </c>
      <c r="M34" s="49"/>
      <c r="N34">
        <v>10</v>
      </c>
      <c r="O34">
        <v>16</v>
      </c>
      <c r="P34">
        <v>2</v>
      </c>
      <c r="Q34">
        <v>12</v>
      </c>
      <c r="R34">
        <v>8</v>
      </c>
      <c r="S34">
        <v>6</v>
      </c>
      <c r="T34">
        <v>4</v>
      </c>
      <c r="U34">
        <v>18</v>
      </c>
      <c r="V34">
        <v>14</v>
      </c>
      <c r="W34" s="49"/>
    </row>
    <row r="37" spans="3:26" x14ac:dyDescent="0.25">
      <c r="C37" t="s">
        <v>133</v>
      </c>
    </row>
    <row r="38" spans="3:26" ht="30" x14ac:dyDescent="0.25">
      <c r="C38" s="52" t="s">
        <v>134</v>
      </c>
      <c r="D38" s="53" t="s">
        <v>135</v>
      </c>
      <c r="E38" s="53" t="s">
        <v>136</v>
      </c>
      <c r="F38" s="53" t="s">
        <v>5</v>
      </c>
      <c r="G38" s="53" t="s">
        <v>137</v>
      </c>
    </row>
    <row r="39" spans="3:26" x14ac:dyDescent="0.25">
      <c r="C39" s="31" t="s">
        <v>138</v>
      </c>
      <c r="D39" s="31">
        <v>72</v>
      </c>
      <c r="E39" s="31" t="s">
        <v>139</v>
      </c>
      <c r="F39" s="31">
        <v>131</v>
      </c>
      <c r="G39" s="31">
        <v>7258</v>
      </c>
    </row>
    <row r="40" spans="3:26" x14ac:dyDescent="0.25">
      <c r="C40" s="31" t="s">
        <v>140</v>
      </c>
      <c r="D40" s="31">
        <v>72</v>
      </c>
      <c r="E40" s="31" t="s">
        <v>141</v>
      </c>
      <c r="F40" s="31">
        <v>126</v>
      </c>
      <c r="G40" s="31">
        <v>6781</v>
      </c>
    </row>
    <row r="41" spans="3:26" x14ac:dyDescent="0.25">
      <c r="C41" s="31" t="s">
        <v>142</v>
      </c>
      <c r="D41" s="31">
        <v>72</v>
      </c>
      <c r="E41" s="31" t="s">
        <v>143</v>
      </c>
      <c r="F41" s="31">
        <v>122</v>
      </c>
      <c r="G41" s="31">
        <v>6346</v>
      </c>
    </row>
    <row r="42" spans="3:26" x14ac:dyDescent="0.25">
      <c r="C42" s="31" t="s">
        <v>144</v>
      </c>
      <c r="D42" s="31">
        <v>72</v>
      </c>
      <c r="E42" s="31" t="s">
        <v>145</v>
      </c>
      <c r="F42" s="31">
        <v>117</v>
      </c>
      <c r="G42" s="31">
        <v>5851</v>
      </c>
    </row>
    <row r="43" spans="3:26" x14ac:dyDescent="0.25">
      <c r="C43" s="31" t="s">
        <v>146</v>
      </c>
      <c r="D43" s="31">
        <v>74</v>
      </c>
      <c r="E43" s="31" t="s">
        <v>147</v>
      </c>
      <c r="F43" s="31">
        <v>110</v>
      </c>
      <c r="G43" s="31">
        <v>5197</v>
      </c>
    </row>
    <row r="44" spans="3:26" x14ac:dyDescent="0.25">
      <c r="C44" s="31" t="s">
        <v>148</v>
      </c>
      <c r="D44" s="31">
        <v>72</v>
      </c>
      <c r="E44" s="31" t="s">
        <v>149</v>
      </c>
      <c r="F44" s="31">
        <v>132</v>
      </c>
      <c r="G44" s="31">
        <v>6346</v>
      </c>
    </row>
    <row r="45" spans="3:26" x14ac:dyDescent="0.25">
      <c r="C45" s="31" t="s">
        <v>150</v>
      </c>
      <c r="D45" s="31">
        <v>72</v>
      </c>
      <c r="E45" s="31" t="s">
        <v>151</v>
      </c>
      <c r="F45" s="31">
        <v>128</v>
      </c>
      <c r="G45" s="31">
        <v>5851</v>
      </c>
    </row>
    <row r="46" spans="3:26" x14ac:dyDescent="0.25">
      <c r="C46" s="31" t="s">
        <v>152</v>
      </c>
      <c r="D46" s="31">
        <v>1</v>
      </c>
      <c r="E46" s="31">
        <v>2</v>
      </c>
      <c r="F46" s="31">
        <v>3</v>
      </c>
      <c r="G46" s="31">
        <v>4</v>
      </c>
      <c r="H46" s="31">
        <v>5</v>
      </c>
      <c r="I46" s="31">
        <v>6</v>
      </c>
      <c r="J46" s="31">
        <v>7</v>
      </c>
      <c r="K46" s="31">
        <v>8</v>
      </c>
      <c r="L46" s="31">
        <v>9</v>
      </c>
    </row>
    <row r="47" spans="3:26" x14ac:dyDescent="0.25">
      <c r="C47" s="31" t="s">
        <v>11</v>
      </c>
      <c r="D47" s="31">
        <v>421</v>
      </c>
      <c r="E47" s="31">
        <v>495</v>
      </c>
      <c r="F47" s="31">
        <v>241</v>
      </c>
      <c r="G47" s="31">
        <v>479</v>
      </c>
      <c r="H47" s="31">
        <v>525</v>
      </c>
      <c r="I47" s="31">
        <v>416</v>
      </c>
      <c r="J47" s="31">
        <v>322</v>
      </c>
      <c r="K47" s="31">
        <v>214</v>
      </c>
      <c r="L47" s="31">
        <v>556</v>
      </c>
      <c r="M47">
        <f>SUM(D47:L47)</f>
        <v>3669</v>
      </c>
      <c r="N47" s="31">
        <v>536</v>
      </c>
      <c r="O47" s="31">
        <v>339</v>
      </c>
      <c r="P47" s="31">
        <v>203</v>
      </c>
      <c r="Q47" s="31">
        <v>459</v>
      </c>
      <c r="R47" s="31">
        <v>451</v>
      </c>
      <c r="S47" s="31">
        <v>202</v>
      </c>
      <c r="T47" s="31">
        <v>393</v>
      </c>
      <c r="U47" s="31">
        <v>520</v>
      </c>
      <c r="V47" s="31">
        <v>486</v>
      </c>
      <c r="W47">
        <f>SUM(N47:V47)</f>
        <v>3589</v>
      </c>
      <c r="X47">
        <f>M47+W47</f>
        <v>7258</v>
      </c>
      <c r="Y47" s="31" t="s">
        <v>139</v>
      </c>
      <c r="Z47" s="31">
        <v>131</v>
      </c>
    </row>
    <row r="48" spans="3:26" x14ac:dyDescent="0.25">
      <c r="C48" s="31" t="s">
        <v>153</v>
      </c>
      <c r="D48" s="31">
        <v>410</v>
      </c>
      <c r="E48" s="31">
        <v>431</v>
      </c>
      <c r="F48" s="31">
        <v>215</v>
      </c>
      <c r="G48" s="31">
        <v>433</v>
      </c>
      <c r="H48" s="31">
        <v>503</v>
      </c>
      <c r="I48" s="31">
        <v>400</v>
      </c>
      <c r="J48" s="31">
        <v>290</v>
      </c>
      <c r="K48" s="31">
        <v>174</v>
      </c>
      <c r="L48" s="31">
        <v>512</v>
      </c>
      <c r="M48">
        <f t="shared" ref="M48:M54" si="3">SUM(D48:L48)</f>
        <v>3368</v>
      </c>
      <c r="N48" s="31">
        <v>524</v>
      </c>
      <c r="O48" s="31">
        <v>337</v>
      </c>
      <c r="P48" s="31">
        <v>174</v>
      </c>
      <c r="Q48" s="31">
        <v>430</v>
      </c>
      <c r="R48" s="31">
        <v>408</v>
      </c>
      <c r="S48" s="31">
        <v>177</v>
      </c>
      <c r="T48" s="31">
        <v>388</v>
      </c>
      <c r="U48" s="31">
        <v>520</v>
      </c>
      <c r="V48" s="31">
        <v>455</v>
      </c>
      <c r="W48">
        <f t="shared" ref="W48:W54" si="4">SUM(N48:V48)</f>
        <v>3413</v>
      </c>
      <c r="X48">
        <f t="shared" ref="X48:X54" si="5">M48+W48</f>
        <v>6781</v>
      </c>
      <c r="Y48" s="31" t="s">
        <v>141</v>
      </c>
      <c r="Z48" s="31">
        <v>126</v>
      </c>
    </row>
    <row r="49" spans="3:26" ht="15.75" x14ac:dyDescent="0.25">
      <c r="C49" s="14" t="s">
        <v>19</v>
      </c>
      <c r="D49" s="54">
        <v>5</v>
      </c>
      <c r="E49" s="54">
        <v>1</v>
      </c>
      <c r="F49" s="54">
        <v>9</v>
      </c>
      <c r="G49" s="54">
        <v>3</v>
      </c>
      <c r="H49" s="54">
        <v>13</v>
      </c>
      <c r="I49" s="54">
        <v>7</v>
      </c>
      <c r="J49" s="54">
        <v>17</v>
      </c>
      <c r="K49" s="54">
        <v>15</v>
      </c>
      <c r="L49" s="54">
        <v>11</v>
      </c>
      <c r="N49" s="54">
        <v>12</v>
      </c>
      <c r="O49" s="54">
        <v>18</v>
      </c>
      <c r="P49" s="54">
        <v>14</v>
      </c>
      <c r="Q49" s="54">
        <v>4</v>
      </c>
      <c r="R49" s="54">
        <v>6</v>
      </c>
      <c r="S49" s="54">
        <v>16</v>
      </c>
      <c r="T49" s="54">
        <v>8</v>
      </c>
      <c r="U49" s="54">
        <v>10</v>
      </c>
      <c r="V49" s="54">
        <v>2</v>
      </c>
    </row>
    <row r="50" spans="3:26" ht="15.75" thickBot="1" x14ac:dyDescent="0.3">
      <c r="C50" s="4" t="s">
        <v>6</v>
      </c>
      <c r="D50" s="55">
        <v>4</v>
      </c>
      <c r="E50" s="55">
        <v>4</v>
      </c>
      <c r="F50" s="55">
        <v>3</v>
      </c>
      <c r="G50" s="55">
        <v>4</v>
      </c>
      <c r="H50" s="55">
        <v>5</v>
      </c>
      <c r="I50" s="55">
        <v>4</v>
      </c>
      <c r="J50" s="55">
        <v>4</v>
      </c>
      <c r="K50" s="55">
        <v>3</v>
      </c>
      <c r="L50" s="55">
        <v>5</v>
      </c>
      <c r="M50">
        <f t="shared" ref="M50" si="6">SUM(D50:L50)</f>
        <v>36</v>
      </c>
      <c r="N50" s="55">
        <v>5</v>
      </c>
      <c r="O50" s="55">
        <v>4</v>
      </c>
      <c r="P50" s="55">
        <v>3</v>
      </c>
      <c r="Q50" s="55">
        <v>4</v>
      </c>
      <c r="R50" s="55">
        <v>4</v>
      </c>
      <c r="S50" s="55">
        <v>3</v>
      </c>
      <c r="T50" s="55">
        <v>4</v>
      </c>
      <c r="U50" s="55">
        <v>5</v>
      </c>
      <c r="V50" s="55">
        <v>4</v>
      </c>
      <c r="W50">
        <f t="shared" ref="W50" si="7">SUM(N50:V50)</f>
        <v>36</v>
      </c>
      <c r="X50">
        <f t="shared" ref="X50" si="8">M50+W50</f>
        <v>72</v>
      </c>
    </row>
    <row r="51" spans="3:26" ht="15.75" thickTop="1" x14ac:dyDescent="0.25">
      <c r="C51" s="31" t="s">
        <v>10</v>
      </c>
      <c r="D51" s="31">
        <v>395</v>
      </c>
      <c r="E51" s="31">
        <v>412</v>
      </c>
      <c r="F51" s="31">
        <v>183</v>
      </c>
      <c r="G51" s="31">
        <v>416</v>
      </c>
      <c r="H51" s="31">
        <v>483</v>
      </c>
      <c r="I51" s="31">
        <v>389</v>
      </c>
      <c r="J51" s="31">
        <v>274</v>
      </c>
      <c r="K51" s="31">
        <v>167</v>
      </c>
      <c r="L51" s="31">
        <v>476</v>
      </c>
      <c r="M51">
        <f t="shared" si="3"/>
        <v>3195</v>
      </c>
      <c r="N51" s="31">
        <v>506</v>
      </c>
      <c r="O51" s="31">
        <v>321</v>
      </c>
      <c r="P51" s="31">
        <v>155</v>
      </c>
      <c r="Q51" s="31">
        <v>399</v>
      </c>
      <c r="R51" s="31">
        <v>352</v>
      </c>
      <c r="S51" s="31">
        <v>165</v>
      </c>
      <c r="T51" s="31">
        <v>345</v>
      </c>
      <c r="U51" s="31">
        <v>486</v>
      </c>
      <c r="V51" s="31">
        <v>422</v>
      </c>
      <c r="W51">
        <f t="shared" si="4"/>
        <v>3151</v>
      </c>
      <c r="X51">
        <f t="shared" si="5"/>
        <v>6346</v>
      </c>
      <c r="Y51" s="31" t="s">
        <v>143</v>
      </c>
      <c r="Z51" s="31">
        <v>122</v>
      </c>
    </row>
    <row r="52" spans="3:26" x14ac:dyDescent="0.25">
      <c r="C52" s="31" t="s">
        <v>18</v>
      </c>
      <c r="D52" s="31">
        <v>351</v>
      </c>
      <c r="E52" s="31">
        <v>355</v>
      </c>
      <c r="F52" s="31">
        <v>164</v>
      </c>
      <c r="G52" s="31">
        <v>357</v>
      </c>
      <c r="H52" s="31">
        <v>437</v>
      </c>
      <c r="I52" s="31">
        <v>380</v>
      </c>
      <c r="J52" s="31">
        <v>259</v>
      </c>
      <c r="K52" s="31">
        <v>161</v>
      </c>
      <c r="L52" s="31">
        <v>460</v>
      </c>
      <c r="M52">
        <f t="shared" si="3"/>
        <v>2924</v>
      </c>
      <c r="N52" s="31">
        <v>460</v>
      </c>
      <c r="O52" s="31">
        <v>310</v>
      </c>
      <c r="P52" s="31">
        <v>108</v>
      </c>
      <c r="Q52" s="31">
        <v>383</v>
      </c>
      <c r="R52" s="31">
        <v>340</v>
      </c>
      <c r="S52" s="31">
        <v>145</v>
      </c>
      <c r="T52" s="31">
        <v>336</v>
      </c>
      <c r="U52" s="31">
        <v>472</v>
      </c>
      <c r="V52" s="31">
        <v>373</v>
      </c>
      <c r="W52">
        <f t="shared" si="4"/>
        <v>2927</v>
      </c>
      <c r="X52">
        <f t="shared" si="5"/>
        <v>5851</v>
      </c>
      <c r="Y52" s="31" t="s">
        <v>145</v>
      </c>
      <c r="Z52" s="31">
        <v>117</v>
      </c>
    </row>
    <row r="53" spans="3:26" x14ac:dyDescent="0.25">
      <c r="C53" s="31" t="s">
        <v>154</v>
      </c>
      <c r="D53" s="31">
        <v>322</v>
      </c>
      <c r="E53" s="31">
        <v>344</v>
      </c>
      <c r="F53" s="31">
        <v>145</v>
      </c>
      <c r="G53" s="31">
        <v>317</v>
      </c>
      <c r="H53" s="31">
        <v>424</v>
      </c>
      <c r="I53" s="31">
        <v>309</v>
      </c>
      <c r="J53" s="31">
        <v>233</v>
      </c>
      <c r="K53" s="31">
        <v>128</v>
      </c>
      <c r="L53" s="31">
        <v>401</v>
      </c>
      <c r="M53">
        <f t="shared" si="3"/>
        <v>2623</v>
      </c>
      <c r="N53" s="31">
        <v>422</v>
      </c>
      <c r="O53" s="31">
        <v>258</v>
      </c>
      <c r="P53" s="31">
        <v>101</v>
      </c>
      <c r="Q53" s="31">
        <v>306</v>
      </c>
      <c r="R53" s="31">
        <v>292</v>
      </c>
      <c r="S53" s="31">
        <v>141</v>
      </c>
      <c r="T53" s="31">
        <v>308</v>
      </c>
      <c r="U53" s="31">
        <v>404</v>
      </c>
      <c r="V53" s="31">
        <v>342</v>
      </c>
      <c r="W53">
        <f t="shared" si="4"/>
        <v>2574</v>
      </c>
      <c r="X53">
        <f t="shared" si="5"/>
        <v>5197</v>
      </c>
      <c r="Y53" s="31" t="s">
        <v>147</v>
      </c>
      <c r="Z53" s="31">
        <v>110</v>
      </c>
    </row>
    <row r="54" spans="3:26" x14ac:dyDescent="0.25">
      <c r="C54" s="4" t="s">
        <v>6</v>
      </c>
      <c r="D54" s="56">
        <v>4</v>
      </c>
      <c r="E54" s="56">
        <v>4</v>
      </c>
      <c r="F54" s="56">
        <v>3</v>
      </c>
      <c r="G54" s="56">
        <v>4</v>
      </c>
      <c r="H54" s="56">
        <v>5</v>
      </c>
      <c r="I54" s="56">
        <v>4</v>
      </c>
      <c r="J54" s="56">
        <v>4</v>
      </c>
      <c r="K54" s="56">
        <v>3</v>
      </c>
      <c r="L54" s="56">
        <v>5</v>
      </c>
      <c r="M54">
        <f t="shared" si="3"/>
        <v>36</v>
      </c>
      <c r="N54" s="56">
        <v>4</v>
      </c>
      <c r="O54" s="56">
        <v>4</v>
      </c>
      <c r="P54" s="56">
        <v>3</v>
      </c>
      <c r="Q54" s="56">
        <v>4</v>
      </c>
      <c r="R54" s="56">
        <v>4</v>
      </c>
      <c r="S54" s="56">
        <v>3</v>
      </c>
      <c r="T54" s="56">
        <v>4</v>
      </c>
      <c r="U54" s="56">
        <v>5</v>
      </c>
      <c r="V54" s="56">
        <v>4</v>
      </c>
      <c r="W54">
        <f t="shared" si="4"/>
        <v>35</v>
      </c>
      <c r="X54">
        <f t="shared" si="5"/>
        <v>71</v>
      </c>
    </row>
    <row r="55" spans="3:26" ht="15.75" x14ac:dyDescent="0.25">
      <c r="C55" s="14" t="s">
        <v>19</v>
      </c>
      <c r="D55" s="54">
        <v>5</v>
      </c>
      <c r="E55" s="54">
        <v>1</v>
      </c>
      <c r="F55" s="54">
        <v>9</v>
      </c>
      <c r="G55" s="54">
        <v>3</v>
      </c>
      <c r="H55" s="54">
        <v>13</v>
      </c>
      <c r="I55" s="54">
        <v>7</v>
      </c>
      <c r="J55" s="54">
        <v>17</v>
      </c>
      <c r="K55" s="54">
        <v>15</v>
      </c>
      <c r="L55" s="54">
        <v>11</v>
      </c>
      <c r="N55" s="54">
        <v>12</v>
      </c>
      <c r="O55" s="54">
        <v>18</v>
      </c>
      <c r="P55" s="54">
        <v>14</v>
      </c>
      <c r="Q55" s="54">
        <v>4</v>
      </c>
      <c r="R55" s="54">
        <v>6</v>
      </c>
      <c r="S55" s="54">
        <v>16</v>
      </c>
      <c r="T55" s="54">
        <v>8</v>
      </c>
      <c r="U55" s="54">
        <v>19</v>
      </c>
      <c r="V55" s="54">
        <v>2</v>
      </c>
    </row>
  </sheetData>
  <mergeCells count="23">
    <mergeCell ref="C12:Z12"/>
    <mergeCell ref="T8:T9"/>
    <mergeCell ref="U8:U9"/>
    <mergeCell ref="V8:V9"/>
    <mergeCell ref="W8:W9"/>
    <mergeCell ref="X8:X9"/>
    <mergeCell ref="O8:O9"/>
    <mergeCell ref="P8:P9"/>
    <mergeCell ref="Q8:Q9"/>
    <mergeCell ref="R8:R9"/>
    <mergeCell ref="S8:S9"/>
    <mergeCell ref="C8:C9"/>
    <mergeCell ref="D8:D9"/>
    <mergeCell ref="E8:E9"/>
    <mergeCell ref="F8:F9"/>
    <mergeCell ref="G8:G9"/>
    <mergeCell ref="M8:M9"/>
    <mergeCell ref="N8:N9"/>
    <mergeCell ref="H8:H9"/>
    <mergeCell ref="I8:I9"/>
    <mergeCell ref="J8:J9"/>
    <mergeCell ref="K8:K9"/>
    <mergeCell ref="L8:L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2:C23"/>
  <sheetViews>
    <sheetView workbookViewId="0">
      <selection activeCell="A20" sqref="A20"/>
    </sheetView>
  </sheetViews>
  <sheetFormatPr baseColWidth="10" defaultRowHeight="15" x14ac:dyDescent="0.25"/>
  <cols>
    <col min="1" max="1" width="15" customWidth="1"/>
    <col min="2" max="2" width="36.42578125" style="34" customWidth="1"/>
    <col min="3" max="3" width="52.7109375" customWidth="1"/>
    <col min="4" max="4" width="11.42578125" customWidth="1"/>
  </cols>
  <sheetData>
    <row r="2" spans="1:3" x14ac:dyDescent="0.25">
      <c r="A2" s="32" t="s">
        <v>21</v>
      </c>
      <c r="B2" s="33">
        <v>532</v>
      </c>
      <c r="C2" s="33">
        <v>530</v>
      </c>
    </row>
    <row r="3" spans="1:3" x14ac:dyDescent="0.25">
      <c r="A3" s="32" t="s">
        <v>22</v>
      </c>
      <c r="B3" s="35" t="s">
        <v>128</v>
      </c>
      <c r="C3" s="35" t="s">
        <v>23</v>
      </c>
    </row>
    <row r="4" spans="1:3" x14ac:dyDescent="0.25">
      <c r="A4" s="32" t="s">
        <v>24</v>
      </c>
      <c r="B4" s="47" t="s">
        <v>121</v>
      </c>
      <c r="C4" s="35" t="s">
        <v>25</v>
      </c>
    </row>
    <row r="5" spans="1:3" x14ac:dyDescent="0.25">
      <c r="A5" s="32" t="s">
        <v>26</v>
      </c>
      <c r="B5" s="36" t="s">
        <v>27</v>
      </c>
      <c r="C5" s="36" t="s">
        <v>27</v>
      </c>
    </row>
    <row r="6" spans="1:3" x14ac:dyDescent="0.25">
      <c r="A6" s="32" t="s">
        <v>28</v>
      </c>
      <c r="B6" s="38">
        <v>1960</v>
      </c>
      <c r="C6" s="38">
        <v>1993</v>
      </c>
    </row>
    <row r="7" spans="1:3" x14ac:dyDescent="0.25">
      <c r="A7" s="32" t="s">
        <v>29</v>
      </c>
      <c r="B7" s="35" t="s">
        <v>123</v>
      </c>
      <c r="C7" s="35" t="s">
        <v>23</v>
      </c>
    </row>
    <row r="8" spans="1:3" x14ac:dyDescent="0.25">
      <c r="A8" s="32" t="s">
        <v>30</v>
      </c>
      <c r="B8" s="35" t="s">
        <v>51</v>
      </c>
      <c r="C8" s="35" t="s">
        <v>31</v>
      </c>
    </row>
    <row r="9" spans="1:3" x14ac:dyDescent="0.25">
      <c r="A9" s="32" t="s">
        <v>32</v>
      </c>
      <c r="B9" s="35" t="s">
        <v>120</v>
      </c>
      <c r="C9" s="35" t="s">
        <v>33</v>
      </c>
    </row>
    <row r="10" spans="1:3" x14ac:dyDescent="0.25">
      <c r="A10" s="32" t="s">
        <v>34</v>
      </c>
      <c r="B10" s="35" t="s">
        <v>51</v>
      </c>
      <c r="C10" s="34"/>
    </row>
    <row r="11" spans="1:3" x14ac:dyDescent="0.25">
      <c r="A11" s="32" t="s">
        <v>35</v>
      </c>
      <c r="B11" s="35" t="s">
        <v>51</v>
      </c>
      <c r="C11" s="34"/>
    </row>
    <row r="12" spans="1:3" x14ac:dyDescent="0.25">
      <c r="A12" s="32" t="s">
        <v>36</v>
      </c>
      <c r="B12" s="35" t="s">
        <v>122</v>
      </c>
      <c r="C12" s="35" t="s">
        <v>37</v>
      </c>
    </row>
    <row r="13" spans="1:3" x14ac:dyDescent="0.25">
      <c r="A13" s="32" t="s">
        <v>38</v>
      </c>
      <c r="B13" s="35" t="s">
        <v>119</v>
      </c>
      <c r="C13" s="35" t="s">
        <v>39</v>
      </c>
    </row>
    <row r="14" spans="1:3" x14ac:dyDescent="0.25">
      <c r="A14" s="32" t="s">
        <v>40</v>
      </c>
      <c r="B14" s="33">
        <v>18</v>
      </c>
      <c r="C14" s="33">
        <v>3</v>
      </c>
    </row>
    <row r="15" spans="1:3" x14ac:dyDescent="0.25">
      <c r="A15" s="32" t="s">
        <v>41</v>
      </c>
      <c r="B15" s="35" t="s">
        <v>119</v>
      </c>
      <c r="C15" s="35" t="s">
        <v>42</v>
      </c>
    </row>
    <row r="16" spans="1:3" x14ac:dyDescent="0.25">
      <c r="A16" s="32" t="s">
        <v>43</v>
      </c>
      <c r="B16" s="39" t="s">
        <v>125</v>
      </c>
      <c r="C16" s="37" t="s">
        <v>44</v>
      </c>
    </row>
    <row r="17" spans="1:3" x14ac:dyDescent="0.25">
      <c r="A17" s="32" t="s">
        <v>45</v>
      </c>
      <c r="B17" s="37" t="s">
        <v>124</v>
      </c>
      <c r="C17" s="37" t="s">
        <v>46</v>
      </c>
    </row>
    <row r="18" spans="1:3" x14ac:dyDescent="0.25">
      <c r="A18" s="32" t="s">
        <v>47</v>
      </c>
      <c r="C18" s="34"/>
    </row>
    <row r="19" spans="1:3" x14ac:dyDescent="0.25">
      <c r="A19" s="32" t="s">
        <v>48</v>
      </c>
      <c r="C19" s="34"/>
    </row>
    <row r="20" spans="1:3" x14ac:dyDescent="0.25">
      <c r="A20" s="43" t="s">
        <v>129</v>
      </c>
    </row>
    <row r="22" spans="1:3" x14ac:dyDescent="0.25">
      <c r="A22" t="s">
        <v>49</v>
      </c>
    </row>
    <row r="23" spans="1:3" x14ac:dyDescent="0.25">
      <c r="A23" t="s">
        <v>50</v>
      </c>
    </row>
  </sheetData>
  <hyperlinks>
    <hyperlink ref="B4" r:id="rId1" display="http://golfidsmontreal.com/" xr:uid="{00000000-0004-0000-0100-000000000000}"/>
  </hyperlinks>
  <pageMargins left="0.7" right="0.7" top="0.75" bottom="0.75" header="0.3" footer="0.3"/>
  <pageSetup orientation="portrait" horizontalDpi="4294967293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outon 1">
              <controlPr defaultSize="0" print="0" autoFill="0" autoPict="0" macro="[0]!creeClub">
                <anchor moveWithCells="1" sizeWithCells="1">
                  <from>
                    <xdr:col>2</xdr:col>
                    <xdr:colOff>1457325</xdr:colOff>
                    <xdr:row>0</xdr:row>
                    <xdr:rowOff>47625</xdr:rowOff>
                  </from>
                  <to>
                    <xdr:col>2</xdr:col>
                    <xdr:colOff>2371725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74"/>
  <sheetViews>
    <sheetView workbookViewId="0">
      <selection activeCell="E10" sqref="E10"/>
    </sheetView>
  </sheetViews>
  <sheetFormatPr baseColWidth="10" defaultRowHeight="15" x14ac:dyDescent="0.25"/>
  <sheetData>
    <row r="2" spans="1:3" x14ac:dyDescent="0.25">
      <c r="A2" s="40" t="s">
        <v>21</v>
      </c>
      <c r="B2" s="33">
        <v>597</v>
      </c>
      <c r="C2" s="33">
        <v>596</v>
      </c>
    </row>
    <row r="3" spans="1:3" x14ac:dyDescent="0.25">
      <c r="A3" s="40" t="s">
        <v>52</v>
      </c>
      <c r="B3" s="33">
        <v>532</v>
      </c>
      <c r="C3" s="33">
        <v>531</v>
      </c>
    </row>
    <row r="4" spans="1:3" x14ac:dyDescent="0.25">
      <c r="A4" s="40" t="s">
        <v>53</v>
      </c>
      <c r="B4" s="48" t="s">
        <v>51</v>
      </c>
      <c r="C4" s="33" t="s">
        <v>118</v>
      </c>
    </row>
    <row r="5" spans="1:3" x14ac:dyDescent="0.25">
      <c r="A5" s="40" t="s">
        <v>54</v>
      </c>
      <c r="B5" t="s">
        <v>51</v>
      </c>
      <c r="C5" t="s">
        <v>51</v>
      </c>
    </row>
    <row r="6" spans="1:3" x14ac:dyDescent="0.25">
      <c r="A6" s="40" t="s">
        <v>55</v>
      </c>
      <c r="B6" s="38">
        <v>1960</v>
      </c>
      <c r="C6" s="38">
        <v>1924</v>
      </c>
    </row>
    <row r="7" spans="1:3" x14ac:dyDescent="0.25">
      <c r="A7" s="40" t="s">
        <v>56</v>
      </c>
      <c r="B7" s="38">
        <v>18</v>
      </c>
      <c r="C7" s="38">
        <v>9</v>
      </c>
    </row>
    <row r="8" spans="1:3" x14ac:dyDescent="0.25">
      <c r="A8" s="40" t="s">
        <v>57</v>
      </c>
      <c r="B8" s="38">
        <v>71</v>
      </c>
      <c r="C8" s="38">
        <v>32</v>
      </c>
    </row>
    <row r="9" spans="1:3" x14ac:dyDescent="0.25">
      <c r="A9" s="40" t="s">
        <v>58</v>
      </c>
      <c r="B9" s="45">
        <v>7276</v>
      </c>
      <c r="C9" s="45">
        <v>2311</v>
      </c>
    </row>
    <row r="10" spans="1:3" x14ac:dyDescent="0.25">
      <c r="A10" s="43" t="s">
        <v>126</v>
      </c>
    </row>
    <row r="13" spans="1:3" x14ac:dyDescent="0.25">
      <c r="A13" t="s">
        <v>49</v>
      </c>
    </row>
    <row r="14" spans="1:3" x14ac:dyDescent="0.25">
      <c r="A14" t="s">
        <v>59</v>
      </c>
    </row>
    <row r="16" spans="1:3" x14ac:dyDescent="0.25">
      <c r="A16" t="s">
        <v>60</v>
      </c>
    </row>
    <row r="17" spans="1:1" x14ac:dyDescent="0.25">
      <c r="A17" s="44" t="s">
        <v>61</v>
      </c>
    </row>
    <row r="18" spans="1:1" x14ac:dyDescent="0.25">
      <c r="A18" s="44" t="s">
        <v>62</v>
      </c>
    </row>
    <row r="19" spans="1:1" x14ac:dyDescent="0.25">
      <c r="A19" s="44" t="s">
        <v>63</v>
      </c>
    </row>
    <row r="20" spans="1:1" x14ac:dyDescent="0.25">
      <c r="A20" s="44" t="s">
        <v>64</v>
      </c>
    </row>
    <row r="21" spans="1:1" x14ac:dyDescent="0.25">
      <c r="A21" s="44" t="s">
        <v>65</v>
      </c>
    </row>
    <row r="22" spans="1:1" x14ac:dyDescent="0.25">
      <c r="A22" s="44" t="s">
        <v>66</v>
      </c>
    </row>
    <row r="23" spans="1:1" x14ac:dyDescent="0.25">
      <c r="A23" s="44"/>
    </row>
    <row r="24" spans="1:1" x14ac:dyDescent="0.25">
      <c r="A24" s="44" t="s">
        <v>67</v>
      </c>
    </row>
    <row r="25" spans="1:1" x14ac:dyDescent="0.25">
      <c r="A25" s="44" t="s">
        <v>68</v>
      </c>
    </row>
    <row r="26" spans="1:1" x14ac:dyDescent="0.25">
      <c r="A26" s="44" t="s">
        <v>62</v>
      </c>
    </row>
    <row r="27" spans="1:1" x14ac:dyDescent="0.25">
      <c r="A27" s="44" t="s">
        <v>127</v>
      </c>
    </row>
    <row r="28" spans="1:1" x14ac:dyDescent="0.25">
      <c r="A28" s="44" t="s">
        <v>64</v>
      </c>
    </row>
    <row r="29" spans="1:1" x14ac:dyDescent="0.25">
      <c r="A29" s="44" t="s">
        <v>65</v>
      </c>
    </row>
    <row r="30" spans="1:1" x14ac:dyDescent="0.25">
      <c r="A30" s="44" t="s">
        <v>69</v>
      </c>
    </row>
    <row r="35" spans="1:1" x14ac:dyDescent="0.25">
      <c r="A35" t="s">
        <v>92</v>
      </c>
    </row>
    <row r="36" spans="1:1" x14ac:dyDescent="0.25">
      <c r="A36" t="s">
        <v>93</v>
      </c>
    </row>
    <row r="37" spans="1:1" x14ac:dyDescent="0.25">
      <c r="A37" t="s">
        <v>94</v>
      </c>
    </row>
    <row r="38" spans="1:1" x14ac:dyDescent="0.25">
      <c r="A38" t="s">
        <v>95</v>
      </c>
    </row>
    <row r="39" spans="1:1" x14ac:dyDescent="0.25">
      <c r="A39" t="s">
        <v>96</v>
      </c>
    </row>
    <row r="40" spans="1:1" x14ac:dyDescent="0.25">
      <c r="A40" t="s">
        <v>63</v>
      </c>
    </row>
    <row r="41" spans="1:1" x14ac:dyDescent="0.25">
      <c r="A41" t="s">
        <v>97</v>
      </c>
    </row>
    <row r="42" spans="1:1" x14ac:dyDescent="0.25">
      <c r="A42" t="s">
        <v>98</v>
      </c>
    </row>
    <row r="43" spans="1:1" x14ac:dyDescent="0.25">
      <c r="A43" t="s">
        <v>99</v>
      </c>
    </row>
    <row r="44" spans="1:1" x14ac:dyDescent="0.25">
      <c r="A44" t="s">
        <v>100</v>
      </c>
    </row>
    <row r="45" spans="1:1" x14ac:dyDescent="0.25">
      <c r="A45" t="s">
        <v>66</v>
      </c>
    </row>
    <row r="47" spans="1:1" x14ac:dyDescent="0.25">
      <c r="A47" t="s">
        <v>93</v>
      </c>
    </row>
    <row r="48" spans="1:1" x14ac:dyDescent="0.25">
      <c r="A48" t="s">
        <v>94</v>
      </c>
    </row>
    <row r="49" spans="1:4" x14ac:dyDescent="0.25">
      <c r="A49" t="s">
        <v>101</v>
      </c>
    </row>
    <row r="50" spans="1:4" x14ac:dyDescent="0.25">
      <c r="A50" t="s">
        <v>102</v>
      </c>
    </row>
    <row r="51" spans="1:4" x14ac:dyDescent="0.25">
      <c r="C51" t="s">
        <v>103</v>
      </c>
    </row>
    <row r="52" spans="1:4" x14ac:dyDescent="0.25">
      <c r="C52" t="s">
        <v>104</v>
      </c>
    </row>
    <row r="53" spans="1:4" x14ac:dyDescent="0.25">
      <c r="D53" t="s">
        <v>105</v>
      </c>
    </row>
    <row r="54" spans="1:4" x14ac:dyDescent="0.25">
      <c r="D54" t="s">
        <v>106</v>
      </c>
    </row>
    <row r="55" spans="1:4" x14ac:dyDescent="0.25">
      <c r="C55" t="s">
        <v>107</v>
      </c>
    </row>
    <row r="56" spans="1:4" x14ac:dyDescent="0.25">
      <c r="C56" t="s">
        <v>108</v>
      </c>
    </row>
    <row r="57" spans="1:4" x14ac:dyDescent="0.25">
      <c r="D57" t="s">
        <v>105</v>
      </c>
    </row>
    <row r="58" spans="1:4" x14ac:dyDescent="0.25">
      <c r="D58" t="s">
        <v>109</v>
      </c>
    </row>
    <row r="59" spans="1:4" x14ac:dyDescent="0.25">
      <c r="C59" t="s">
        <v>110</v>
      </c>
    </row>
    <row r="61" spans="1:4" x14ac:dyDescent="0.25">
      <c r="B61" t="s">
        <v>111</v>
      </c>
    </row>
    <row r="62" spans="1:4" x14ac:dyDescent="0.25">
      <c r="B62" t="s">
        <v>112</v>
      </c>
    </row>
    <row r="63" spans="1:4" x14ac:dyDescent="0.25">
      <c r="B63" t="s">
        <v>113</v>
      </c>
    </row>
    <row r="64" spans="1:4" x14ac:dyDescent="0.25">
      <c r="C64" t="s">
        <v>114</v>
      </c>
    </row>
    <row r="65" spans="1:4" x14ac:dyDescent="0.25">
      <c r="D65" t="s">
        <v>115</v>
      </c>
    </row>
    <row r="66" spans="1:4" x14ac:dyDescent="0.25">
      <c r="C66" t="s">
        <v>107</v>
      </c>
    </row>
    <row r="67" spans="1:4" x14ac:dyDescent="0.25">
      <c r="D67" t="s">
        <v>116</v>
      </c>
    </row>
    <row r="68" spans="1:4" x14ac:dyDescent="0.25">
      <c r="C68" t="s">
        <v>110</v>
      </c>
    </row>
    <row r="69" spans="1:4" x14ac:dyDescent="0.25">
      <c r="B69" t="s">
        <v>110</v>
      </c>
    </row>
    <row r="70" spans="1:4" x14ac:dyDescent="0.25">
      <c r="B70" t="s">
        <v>110</v>
      </c>
    </row>
    <row r="71" spans="1:4" x14ac:dyDescent="0.25">
      <c r="A71" t="s">
        <v>98</v>
      </c>
    </row>
    <row r="72" spans="1:4" x14ac:dyDescent="0.25">
      <c r="A72" t="s">
        <v>99</v>
      </c>
    </row>
    <row r="73" spans="1:4" x14ac:dyDescent="0.25">
      <c r="A73" t="s">
        <v>100</v>
      </c>
    </row>
    <row r="74" spans="1:4" x14ac:dyDescent="0.25">
      <c r="A74" t="s">
        <v>117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outon 1">
              <controlPr defaultSize="0" print="0" autoFill="0" autoPict="0" macro="[0]!creeParcour">
                <anchor moveWithCells="1" sizeWithCells="1">
                  <from>
                    <xdr:col>4</xdr:col>
                    <xdr:colOff>276225</xdr:colOff>
                    <xdr:row>0</xdr:row>
                    <xdr:rowOff>47625</xdr:rowOff>
                  </from>
                  <to>
                    <xdr:col>5</xdr:col>
                    <xdr:colOff>523875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Y14"/>
  <sheetViews>
    <sheetView workbookViewId="0">
      <selection activeCell="A15" sqref="A15"/>
    </sheetView>
  </sheetViews>
  <sheetFormatPr baseColWidth="10" defaultRowHeight="15" x14ac:dyDescent="0.25"/>
  <cols>
    <col min="1" max="1" width="13.5703125" customWidth="1"/>
    <col min="2" max="2" width="15.28515625" customWidth="1"/>
    <col min="3" max="25" width="7" customWidth="1"/>
  </cols>
  <sheetData>
    <row r="1" spans="1:25" ht="26.25" customHeight="1" x14ac:dyDescent="0.25"/>
    <row r="2" spans="1:25" x14ac:dyDescent="0.25">
      <c r="A2" s="40" t="s">
        <v>70</v>
      </c>
      <c r="B2" s="40" t="s">
        <v>71</v>
      </c>
      <c r="C2" s="40" t="s">
        <v>72</v>
      </c>
      <c r="D2" s="40" t="s">
        <v>73</v>
      </c>
      <c r="E2" s="40" t="s">
        <v>74</v>
      </c>
      <c r="F2" s="40" t="s">
        <v>75</v>
      </c>
      <c r="G2" s="40" t="s">
        <v>76</v>
      </c>
      <c r="H2" s="40" t="s">
        <v>77</v>
      </c>
      <c r="I2" s="40" t="s">
        <v>78</v>
      </c>
      <c r="J2" s="40" t="s">
        <v>79</v>
      </c>
      <c r="K2" s="40" t="s">
        <v>80</v>
      </c>
      <c r="L2" s="40" t="s">
        <v>1</v>
      </c>
      <c r="M2" s="40" t="s">
        <v>81</v>
      </c>
      <c r="N2" s="40" t="s">
        <v>82</v>
      </c>
      <c r="O2" s="40" t="s">
        <v>83</v>
      </c>
      <c r="P2" s="40" t="s">
        <v>84</v>
      </c>
      <c r="Q2" s="40" t="s">
        <v>85</v>
      </c>
      <c r="R2" s="40" t="s">
        <v>86</v>
      </c>
      <c r="S2" s="40" t="s">
        <v>87</v>
      </c>
      <c r="T2" s="40" t="s">
        <v>88</v>
      </c>
      <c r="U2" s="40" t="s">
        <v>89</v>
      </c>
      <c r="V2" s="40" t="s">
        <v>2</v>
      </c>
      <c r="W2" s="40" t="s">
        <v>3</v>
      </c>
      <c r="X2" s="40" t="s">
        <v>90</v>
      </c>
      <c r="Y2" s="40" t="s">
        <v>5</v>
      </c>
    </row>
    <row r="3" spans="1:25" ht="15.75" x14ac:dyDescent="0.25">
      <c r="B3" s="14" t="s">
        <v>8</v>
      </c>
      <c r="C3" s="31">
        <v>316</v>
      </c>
      <c r="D3" s="31">
        <v>387</v>
      </c>
      <c r="E3" s="31">
        <v>186</v>
      </c>
      <c r="F3" s="31">
        <v>506</v>
      </c>
      <c r="G3" s="31">
        <v>445</v>
      </c>
      <c r="H3" s="31">
        <v>625</v>
      </c>
      <c r="I3" s="31">
        <v>235</v>
      </c>
      <c r="J3" s="31">
        <v>525</v>
      </c>
      <c r="K3" s="31">
        <v>328</v>
      </c>
      <c r="L3" s="31">
        <v>3553</v>
      </c>
      <c r="M3" s="31">
        <v>450</v>
      </c>
      <c r="N3" s="31">
        <v>622</v>
      </c>
      <c r="O3" s="31">
        <v>406</v>
      </c>
      <c r="P3" s="31">
        <v>225</v>
      </c>
      <c r="Q3" s="31">
        <v>482</v>
      </c>
      <c r="R3" s="31">
        <v>575</v>
      </c>
      <c r="S3" s="31">
        <v>403</v>
      </c>
      <c r="T3" s="31">
        <v>172</v>
      </c>
      <c r="U3" s="31">
        <v>388</v>
      </c>
      <c r="V3" s="31">
        <v>3723</v>
      </c>
      <c r="W3" s="31">
        <v>7276</v>
      </c>
      <c r="X3" s="31">
        <v>70</v>
      </c>
      <c r="Y3" s="31">
        <v>110</v>
      </c>
    </row>
    <row r="4" spans="1:25" ht="15.75" x14ac:dyDescent="0.25">
      <c r="B4" s="14" t="s">
        <v>18</v>
      </c>
      <c r="C4" s="31">
        <v>308</v>
      </c>
      <c r="D4" s="31">
        <v>367</v>
      </c>
      <c r="E4" s="31">
        <v>173</v>
      </c>
      <c r="F4" s="31">
        <v>433</v>
      </c>
      <c r="G4" s="31">
        <v>430</v>
      </c>
      <c r="H4" s="31">
        <v>590</v>
      </c>
      <c r="I4" s="31">
        <v>179</v>
      </c>
      <c r="J4" s="31">
        <v>514</v>
      </c>
      <c r="K4" s="31">
        <v>362</v>
      </c>
      <c r="L4" s="31">
        <v>3356</v>
      </c>
      <c r="M4" s="31">
        <v>431</v>
      </c>
      <c r="N4" s="31">
        <v>540</v>
      </c>
      <c r="O4" s="31">
        <v>375</v>
      </c>
      <c r="P4" s="31">
        <v>184</v>
      </c>
      <c r="Q4" s="31">
        <v>452</v>
      </c>
      <c r="R4" s="31">
        <v>536</v>
      </c>
      <c r="S4" s="31">
        <v>379</v>
      </c>
      <c r="T4" s="31">
        <v>156</v>
      </c>
      <c r="U4" s="31">
        <v>374</v>
      </c>
      <c r="V4" s="31">
        <v>3427</v>
      </c>
      <c r="W4" s="31">
        <v>6783</v>
      </c>
      <c r="X4" s="31">
        <v>70</v>
      </c>
      <c r="Y4" s="31">
        <v>110</v>
      </c>
    </row>
    <row r="5" spans="1:25" x14ac:dyDescent="0.25">
      <c r="B5" s="15" t="s">
        <v>7</v>
      </c>
      <c r="C5" s="31">
        <v>308</v>
      </c>
      <c r="D5" s="31">
        <v>355</v>
      </c>
      <c r="E5" s="31">
        <v>170</v>
      </c>
      <c r="F5" s="31">
        <v>430</v>
      </c>
      <c r="G5" s="31">
        <v>386</v>
      </c>
      <c r="H5" s="31">
        <v>529</v>
      </c>
      <c r="I5" s="31">
        <v>157</v>
      </c>
      <c r="J5" s="31">
        <v>490</v>
      </c>
      <c r="K5" s="31">
        <v>384</v>
      </c>
      <c r="L5" s="31">
        <v>3209</v>
      </c>
      <c r="M5" s="31">
        <v>417</v>
      </c>
      <c r="N5" s="31">
        <v>540</v>
      </c>
      <c r="O5" s="31">
        <v>346</v>
      </c>
      <c r="P5" s="31">
        <v>189</v>
      </c>
      <c r="Q5" s="31">
        <v>392</v>
      </c>
      <c r="R5" s="31">
        <v>521</v>
      </c>
      <c r="S5" s="31">
        <v>379</v>
      </c>
      <c r="T5" s="31">
        <v>147</v>
      </c>
      <c r="U5" s="31">
        <v>365</v>
      </c>
      <c r="V5" s="31">
        <v>3296</v>
      </c>
      <c r="W5" s="31">
        <v>6505</v>
      </c>
      <c r="X5" s="31">
        <v>70</v>
      </c>
      <c r="Y5" s="31">
        <v>110</v>
      </c>
    </row>
    <row r="6" spans="1:25" ht="15.75" x14ac:dyDescent="0.25">
      <c r="B6" s="14" t="s">
        <v>11</v>
      </c>
      <c r="C6" s="31">
        <v>282</v>
      </c>
      <c r="D6" s="31">
        <v>333</v>
      </c>
      <c r="E6" s="31">
        <v>131</v>
      </c>
      <c r="F6" s="31">
        <v>363</v>
      </c>
      <c r="G6" s="31">
        <v>339</v>
      </c>
      <c r="H6" s="31">
        <v>440</v>
      </c>
      <c r="I6" s="31">
        <v>130</v>
      </c>
      <c r="J6" s="31">
        <v>437</v>
      </c>
      <c r="K6" s="31">
        <v>309</v>
      </c>
      <c r="L6" s="31">
        <v>2764</v>
      </c>
      <c r="M6" s="31">
        <v>406</v>
      </c>
      <c r="N6" s="31">
        <v>507</v>
      </c>
      <c r="O6" s="31">
        <v>326</v>
      </c>
      <c r="P6" s="31">
        <v>177</v>
      </c>
      <c r="Q6" s="31">
        <v>335</v>
      </c>
      <c r="R6" s="31">
        <v>479</v>
      </c>
      <c r="S6" s="31">
        <v>326</v>
      </c>
      <c r="T6" s="31">
        <v>105</v>
      </c>
      <c r="U6" s="31">
        <v>332</v>
      </c>
      <c r="V6" s="31">
        <v>2993</v>
      </c>
      <c r="W6" s="31">
        <v>5757</v>
      </c>
      <c r="X6" s="31">
        <v>70</v>
      </c>
      <c r="Y6" s="31">
        <v>110</v>
      </c>
    </row>
    <row r="7" spans="1:25" ht="15.75" x14ac:dyDescent="0.25">
      <c r="B7" s="14" t="s">
        <v>9</v>
      </c>
      <c r="C7" s="31">
        <v>277</v>
      </c>
      <c r="D7" s="31">
        <v>326</v>
      </c>
      <c r="E7" s="31">
        <v>125</v>
      </c>
      <c r="F7" s="31">
        <v>357</v>
      </c>
      <c r="G7" s="31">
        <v>332</v>
      </c>
      <c r="H7" s="31">
        <v>435</v>
      </c>
      <c r="I7" s="31">
        <v>108</v>
      </c>
      <c r="J7" s="31">
        <v>424</v>
      </c>
      <c r="K7" s="31">
        <v>299</v>
      </c>
      <c r="L7" s="31">
        <v>2683</v>
      </c>
      <c r="M7" s="31">
        <v>398</v>
      </c>
      <c r="N7" s="31">
        <v>475</v>
      </c>
      <c r="O7" s="31">
        <v>304</v>
      </c>
      <c r="P7" s="31">
        <v>136</v>
      </c>
      <c r="Q7" s="31">
        <v>307</v>
      </c>
      <c r="R7" s="31">
        <v>473</v>
      </c>
      <c r="S7" s="31">
        <v>316</v>
      </c>
      <c r="T7" s="31">
        <v>94</v>
      </c>
      <c r="U7" s="31">
        <v>323</v>
      </c>
      <c r="V7" s="31">
        <v>2826</v>
      </c>
      <c r="W7" s="31">
        <v>5509</v>
      </c>
      <c r="X7" s="31">
        <v>70</v>
      </c>
      <c r="Y7" s="31">
        <v>110</v>
      </c>
    </row>
    <row r="8" spans="1:25" ht="15.75" x14ac:dyDescent="0.25">
      <c r="B8" s="14" t="s">
        <v>6</v>
      </c>
      <c r="C8" s="31">
        <v>4</v>
      </c>
      <c r="D8" s="31">
        <v>4</v>
      </c>
      <c r="E8" s="31">
        <v>3</v>
      </c>
      <c r="F8" s="31">
        <v>4</v>
      </c>
      <c r="G8" s="31">
        <v>4</v>
      </c>
      <c r="H8" s="31">
        <v>5</v>
      </c>
      <c r="I8" s="31">
        <v>3</v>
      </c>
      <c r="J8" s="31">
        <v>5</v>
      </c>
      <c r="K8" s="31">
        <v>4</v>
      </c>
      <c r="L8" s="31">
        <v>36</v>
      </c>
      <c r="M8" s="31">
        <v>4</v>
      </c>
      <c r="N8" s="31">
        <v>5</v>
      </c>
      <c r="O8" s="31">
        <v>4</v>
      </c>
      <c r="P8" s="31">
        <v>3</v>
      </c>
      <c r="Q8" s="31">
        <v>4</v>
      </c>
      <c r="R8" s="31">
        <v>5</v>
      </c>
      <c r="S8" s="31">
        <v>4</v>
      </c>
      <c r="T8" s="31">
        <v>3</v>
      </c>
      <c r="U8" s="31">
        <v>4</v>
      </c>
      <c r="V8" s="31">
        <v>36</v>
      </c>
      <c r="W8" s="31">
        <v>72</v>
      </c>
    </row>
    <row r="9" spans="1:25" ht="15.75" x14ac:dyDescent="0.25">
      <c r="B9" s="14" t="s">
        <v>19</v>
      </c>
      <c r="C9" s="31">
        <v>17</v>
      </c>
      <c r="D9" s="31">
        <v>7</v>
      </c>
      <c r="E9" s="31">
        <v>11</v>
      </c>
      <c r="F9" s="31">
        <v>3</v>
      </c>
      <c r="G9" s="31">
        <v>5</v>
      </c>
      <c r="H9" s="31">
        <v>1</v>
      </c>
      <c r="I9" s="31">
        <v>13</v>
      </c>
      <c r="J9" s="31">
        <v>15</v>
      </c>
      <c r="K9" s="31">
        <v>9</v>
      </c>
      <c r="L9" s="31"/>
      <c r="M9" s="31">
        <v>6</v>
      </c>
      <c r="N9" s="31">
        <v>10</v>
      </c>
      <c r="O9" s="31">
        <v>14</v>
      </c>
      <c r="P9" s="31">
        <v>16</v>
      </c>
      <c r="Q9" s="31">
        <v>2</v>
      </c>
      <c r="R9" s="31">
        <v>12</v>
      </c>
      <c r="S9" s="31">
        <v>4</v>
      </c>
      <c r="T9" s="31">
        <v>18</v>
      </c>
      <c r="U9" s="31">
        <v>8</v>
      </c>
      <c r="V9" s="31"/>
      <c r="W9" s="31"/>
    </row>
    <row r="11" spans="1:25" x14ac:dyDescent="0.25">
      <c r="A11" s="42" t="s">
        <v>91</v>
      </c>
      <c r="B11" s="30" t="s">
        <v>20</v>
      </c>
      <c r="C11" s="31">
        <v>1</v>
      </c>
      <c r="D11" s="31">
        <v>2</v>
      </c>
      <c r="E11" s="31">
        <v>3</v>
      </c>
      <c r="F11" s="31">
        <v>4</v>
      </c>
      <c r="G11" s="31">
        <v>5</v>
      </c>
      <c r="H11" s="31">
        <v>6</v>
      </c>
      <c r="I11" s="31">
        <v>7</v>
      </c>
      <c r="J11" s="31">
        <v>8</v>
      </c>
      <c r="K11" s="31">
        <v>9</v>
      </c>
      <c r="L11" s="31" t="s">
        <v>16</v>
      </c>
      <c r="M11" s="31">
        <v>10</v>
      </c>
      <c r="N11" s="31">
        <v>11</v>
      </c>
      <c r="O11" s="31">
        <v>12</v>
      </c>
      <c r="P11" s="31">
        <v>13</v>
      </c>
      <c r="Q11" s="31">
        <v>14</v>
      </c>
      <c r="R11" s="31">
        <v>15</v>
      </c>
      <c r="S11" s="31">
        <v>16</v>
      </c>
      <c r="T11" s="31">
        <v>17</v>
      </c>
      <c r="U11" s="31">
        <v>18</v>
      </c>
      <c r="V11" s="31" t="s">
        <v>17</v>
      </c>
      <c r="W11" s="31" t="s">
        <v>3</v>
      </c>
    </row>
    <row r="12" spans="1:25" x14ac:dyDescent="0.25">
      <c r="A12">
        <v>597</v>
      </c>
      <c r="B12" s="46" t="s">
        <v>18</v>
      </c>
      <c r="C12" s="31">
        <v>316</v>
      </c>
      <c r="D12" s="31">
        <v>387</v>
      </c>
      <c r="E12" s="31">
        <v>186</v>
      </c>
      <c r="F12" s="31">
        <v>506</v>
      </c>
      <c r="G12" s="31">
        <v>445</v>
      </c>
      <c r="H12" s="31">
        <v>625</v>
      </c>
      <c r="I12" s="31">
        <v>235</v>
      </c>
      <c r="J12" s="31">
        <v>525</v>
      </c>
      <c r="K12" s="31">
        <v>328</v>
      </c>
      <c r="L12" s="31">
        <v>3553</v>
      </c>
      <c r="M12" s="31">
        <v>450</v>
      </c>
      <c r="N12" s="31">
        <v>622</v>
      </c>
      <c r="O12" s="31">
        <v>406</v>
      </c>
      <c r="P12" s="31">
        <v>225</v>
      </c>
      <c r="Q12" s="31">
        <v>482</v>
      </c>
      <c r="R12" s="31">
        <v>575</v>
      </c>
      <c r="S12" s="31">
        <v>403</v>
      </c>
      <c r="T12" s="31">
        <v>172</v>
      </c>
      <c r="U12" s="31">
        <v>388</v>
      </c>
      <c r="V12" s="31">
        <v>3723</v>
      </c>
      <c r="W12" s="31">
        <v>7276</v>
      </c>
    </row>
    <row r="13" spans="1:25" x14ac:dyDescent="0.25">
      <c r="A13">
        <v>597</v>
      </c>
      <c r="B13" s="31" t="s">
        <v>6</v>
      </c>
      <c r="C13" s="31">
        <v>4</v>
      </c>
      <c r="D13" s="31">
        <v>4</v>
      </c>
      <c r="E13" s="31">
        <v>3</v>
      </c>
      <c r="F13" s="31">
        <v>4</v>
      </c>
      <c r="G13" s="31">
        <v>4</v>
      </c>
      <c r="H13" s="31">
        <v>5</v>
      </c>
      <c r="I13" s="31">
        <v>3</v>
      </c>
      <c r="J13" s="31">
        <v>4</v>
      </c>
      <c r="K13" s="31">
        <v>4</v>
      </c>
      <c r="L13" s="31">
        <v>35</v>
      </c>
      <c r="M13" s="31">
        <v>4</v>
      </c>
      <c r="N13" s="31">
        <v>5</v>
      </c>
      <c r="O13" s="31">
        <v>4</v>
      </c>
      <c r="P13" s="31">
        <v>3</v>
      </c>
      <c r="Q13" s="31">
        <v>4</v>
      </c>
      <c r="R13" s="31">
        <v>5</v>
      </c>
      <c r="S13" s="31">
        <v>4</v>
      </c>
      <c r="T13" s="31">
        <v>3</v>
      </c>
      <c r="U13" s="31">
        <v>4</v>
      </c>
      <c r="V13" s="31">
        <v>36</v>
      </c>
      <c r="W13" s="31">
        <v>71</v>
      </c>
    </row>
    <row r="14" spans="1:25" ht="15.75" x14ac:dyDescent="0.25">
      <c r="A14">
        <v>597</v>
      </c>
      <c r="B14" s="14" t="s">
        <v>19</v>
      </c>
      <c r="C14" s="31">
        <v>1</v>
      </c>
      <c r="D14" s="31">
        <v>2</v>
      </c>
      <c r="E14" s="31">
        <v>3</v>
      </c>
      <c r="F14" s="31">
        <v>4</v>
      </c>
      <c r="G14" s="31">
        <v>5</v>
      </c>
      <c r="H14" s="31">
        <v>6</v>
      </c>
      <c r="I14" s="31">
        <v>7</v>
      </c>
      <c r="J14" s="31">
        <v>8</v>
      </c>
      <c r="K14" s="31">
        <v>9</v>
      </c>
      <c r="L14" s="31"/>
      <c r="M14" s="31">
        <v>10</v>
      </c>
      <c r="N14" s="31">
        <v>11</v>
      </c>
      <c r="O14" s="31">
        <v>12</v>
      </c>
      <c r="P14" s="31">
        <v>13</v>
      </c>
      <c r="Q14" s="31">
        <v>14</v>
      </c>
      <c r="R14" s="31">
        <v>15</v>
      </c>
      <c r="S14" s="31">
        <v>16</v>
      </c>
      <c r="T14" s="31">
        <v>17</v>
      </c>
      <c r="U14" s="31">
        <v>18</v>
      </c>
      <c r="V14" s="31"/>
      <c r="W1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outon 1">
              <controlPr defaultSize="0" print="0" autoFill="0" autoPict="0" macro="[0]!creeBlocs">
                <anchor moveWithCells="1" sizeWithCells="1">
                  <from>
                    <xdr:col>7</xdr:col>
                    <xdr:colOff>38100</xdr:colOff>
                    <xdr:row>0</xdr:row>
                    <xdr:rowOff>47625</xdr:rowOff>
                  </from>
                  <to>
                    <xdr:col>9</xdr:col>
                    <xdr:colOff>361950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K27"/>
  <sheetViews>
    <sheetView workbookViewId="0">
      <selection sqref="A1:A3"/>
    </sheetView>
  </sheetViews>
  <sheetFormatPr baseColWidth="10" defaultRowHeight="15" x14ac:dyDescent="0.25"/>
  <sheetData>
    <row r="1" spans="1:11" x14ac:dyDescent="0.25">
      <c r="A1" t="s">
        <v>130</v>
      </c>
    </row>
    <row r="2" spans="1:11" x14ac:dyDescent="0.25">
      <c r="A2" t="s">
        <v>131</v>
      </c>
      <c r="J2" s="40"/>
      <c r="K2" s="38"/>
    </row>
    <row r="3" spans="1:11" x14ac:dyDescent="0.25">
      <c r="A3" t="s">
        <v>132</v>
      </c>
      <c r="J3" s="40"/>
    </row>
    <row r="4" spans="1:11" x14ac:dyDescent="0.25">
      <c r="J4" s="40"/>
      <c r="K4" s="41"/>
    </row>
    <row r="5" spans="1:11" x14ac:dyDescent="0.25">
      <c r="J5" s="40"/>
    </row>
    <row r="6" spans="1:11" x14ac:dyDescent="0.25">
      <c r="J6" s="40"/>
    </row>
    <row r="7" spans="1:11" x14ac:dyDescent="0.25">
      <c r="J7" s="40"/>
    </row>
    <row r="8" spans="1:11" x14ac:dyDescent="0.25">
      <c r="J8" s="40"/>
    </row>
    <row r="9" spans="1:11" x14ac:dyDescent="0.25">
      <c r="J9" s="40"/>
    </row>
    <row r="10" spans="1:11" x14ac:dyDescent="0.25">
      <c r="J10" s="40"/>
    </row>
    <row r="11" spans="1:11" x14ac:dyDescent="0.25">
      <c r="J11" s="40"/>
    </row>
    <row r="12" spans="1:11" x14ac:dyDescent="0.25">
      <c r="J12" s="40"/>
    </row>
    <row r="13" spans="1:11" x14ac:dyDescent="0.25">
      <c r="J13" s="40"/>
    </row>
    <row r="14" spans="1:11" x14ac:dyDescent="0.25">
      <c r="J14" s="40"/>
    </row>
    <row r="15" spans="1:11" x14ac:dyDescent="0.25">
      <c r="J15" s="40"/>
    </row>
    <row r="16" spans="1:11" x14ac:dyDescent="0.25">
      <c r="J16" s="40"/>
    </row>
    <row r="17" spans="10:10" x14ac:dyDescent="0.25">
      <c r="J17" s="40"/>
    </row>
    <row r="18" spans="10:10" x14ac:dyDescent="0.25">
      <c r="J18" s="40"/>
    </row>
    <row r="19" spans="10:10" x14ac:dyDescent="0.25">
      <c r="J19" s="40"/>
    </row>
    <row r="20" spans="10:10" x14ac:dyDescent="0.25">
      <c r="J20" s="40"/>
    </row>
    <row r="21" spans="10:10" x14ac:dyDescent="0.25">
      <c r="J21" s="40"/>
    </row>
    <row r="22" spans="10:10" x14ac:dyDescent="0.25">
      <c r="J22" s="40"/>
    </row>
    <row r="23" spans="10:10" x14ac:dyDescent="0.25">
      <c r="J23" s="40"/>
    </row>
    <row r="24" spans="10:10" x14ac:dyDescent="0.25">
      <c r="J24" s="40"/>
    </row>
    <row r="25" spans="10:10" x14ac:dyDescent="0.25">
      <c r="J25" s="40"/>
    </row>
    <row r="26" spans="10:10" x14ac:dyDescent="0.25">
      <c r="J26" s="40"/>
    </row>
    <row r="27" spans="10:10" x14ac:dyDescent="0.25">
      <c r="J27" s="40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Feuil1</vt:lpstr>
      <vt:lpstr>golf.club</vt:lpstr>
      <vt:lpstr>golf.parcours</vt:lpstr>
      <vt:lpstr>golf.blocs</vt:lpstr>
      <vt:lpstr>blocs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cdore</dc:creator>
  <cp:lastModifiedBy>cdore</cp:lastModifiedBy>
  <dcterms:created xsi:type="dcterms:W3CDTF">2013-02-16T20:51:40Z</dcterms:created>
  <dcterms:modified xsi:type="dcterms:W3CDTF">2019-01-26T20:37:17Z</dcterms:modified>
</cp:coreProperties>
</file>