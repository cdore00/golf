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3_ncr:1_{171B1B91-5C98-4247-805D-FDFFE2F959C4}" xr6:coauthVersionLast="40" xr6:coauthVersionMax="40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81029"/>
  <fileRecoveryPr autoRecover="0"/>
</workbook>
</file>

<file path=xl/calcChain.xml><?xml version="1.0" encoding="utf-8"?>
<calcChain xmlns="http://schemas.openxmlformats.org/spreadsheetml/2006/main">
  <c r="W50" i="1" l="1"/>
  <c r="M50" i="1"/>
  <c r="W48" i="1"/>
  <c r="W51" i="1"/>
  <c r="W52" i="1"/>
  <c r="W53" i="1"/>
  <c r="W54" i="1"/>
  <c r="W47" i="1"/>
  <c r="M48" i="1"/>
  <c r="M51" i="1"/>
  <c r="M52" i="1"/>
  <c r="M53" i="1"/>
  <c r="X53" i="1" s="1"/>
  <c r="M54" i="1"/>
  <c r="M47" i="1"/>
  <c r="X52" i="1" l="1"/>
  <c r="X47" i="1"/>
  <c r="X51" i="1"/>
  <c r="X54" i="1"/>
  <c r="X50" i="1"/>
  <c r="X48" i="1"/>
  <c r="W27" i="1"/>
  <c r="M27" i="1"/>
  <c r="W29" i="1"/>
  <c r="W30" i="1"/>
  <c r="W32" i="1"/>
  <c r="W33" i="1"/>
  <c r="M33" i="1"/>
  <c r="M29" i="1"/>
  <c r="M30" i="1"/>
  <c r="M32" i="1"/>
  <c r="W28" i="1"/>
  <c r="M28" i="1"/>
  <c r="X27" i="1" l="1"/>
  <c r="X28" i="1"/>
  <c r="X30" i="1"/>
  <c r="X29" i="1"/>
  <c r="X33" i="1"/>
  <c r="X32" i="1"/>
</calcChain>
</file>

<file path=xl/sharedStrings.xml><?xml version="1.0" encoding="utf-8"?>
<sst xmlns="http://schemas.openxmlformats.org/spreadsheetml/2006/main" count="225" uniqueCount="155">
  <si>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</si>
  <si>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</si>
  <si>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</si>
  <si>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</si>
  <si>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</si>
  <si>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</si>
  <si>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</si>
  <si>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</si>
  <si>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</si>
  <si>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</si>
  <si>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</si>
  <si>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</si>
  <si>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</si>
  <si>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</si>
  <si>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</si>
  <si>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</si>
  <si>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</si>
  <si>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</si>
  <si>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</si>
  <si>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</si>
  <si>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</si>
  <si>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</si>
  <si>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</si>
  <si>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</si>
  <si>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</si>
  <si>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</si>
  <si>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</si>
  <si>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</si>
  <si>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</si>
  <si>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</si>
  <si>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</si>
  <si>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</si>
  <si>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</si>
  <si>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</si>
  <si>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</si>
  <si>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</si>
  <si>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</si>
  <si>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</si>
  <si>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</si>
  <si>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</si>
  <si>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</si>
  <si>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</si>
  <si>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</si>
  <si>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</si>
  <si>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</si>
  <si>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</si>
  <si>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</si>
  <si>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</si>
  <si>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</si>
  <si>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</si>
  <si>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</si>
  <si>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</si>
  <si>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</si>
  <si>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</si>
  <si>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</si>
  <si>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</si>
  <si>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</si>
  <si>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</si>
  <si>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</si>
  <si>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</si>
  <si>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</si>
  <si>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</si>
  <si>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</si>
  <si>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</si>
  <si>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</si>
  <si>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</si>
  <si>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</si>
  <si>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</si>
  <si>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</si>
  <si>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</si>
  <si>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</si>
  <si>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</si>
  <si>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</si>
  <si>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</si>
  <si>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</si>
  <si>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</si>
  <si>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</si>
  <si>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</si>
  <si>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</si>
  <si>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</si>
  <si>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</si>
  <si>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</si>
  <si>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</si>
  <si>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</si>
  <si>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</si>
  <si>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</si>
  <si>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</si>
  <si>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</si>
  <si>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</si>
  <si>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</si>
  <si>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</si>
  <si>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</si>
  <si>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</si>
  <si>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</si>
  <si>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</si>
  <si>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</si>
  <si>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</si>
  <si>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</si>
  <si>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</si>
  <si>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</si>
  <si>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</si>
  <si>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</si>
  <si>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</si>
  <si>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</si>
  <si>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</si>
  <si>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</si>
  <si>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</si>
  <si>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</si>
  <si>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</si>
  <si>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</si>
  <si>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</si>
  <si>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</si>
  <si>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</si>
  <si>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</si>
  <si>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</si>
  <si>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</si>
  <si>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</si>
  <si>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</si>
  <si>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</si>
  <si>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</si>
  <si>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</si>
  <si>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</si>
  <si>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</si>
  <si>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</si>
  <si>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</si>
  <si>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</si>
  <si>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</si>
  <si>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</si>
  <si>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</si>
  <si>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</si>
  <si>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</si>
  <si>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</si>
  <si>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</si>
  <si>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Torrey Pines Golf Course (North) Scorecard</t>
  </si>
  <si>
    <t>Tees</t>
  </si>
  <si>
    <t>Par</t>
  </si>
  <si>
    <t>Rating</t>
  </si>
  <si>
    <t>Yardage</t>
  </si>
  <si>
    <t>Black</t>
  </si>
  <si>
    <t>75.3</t>
  </si>
  <si>
    <t>Taupe</t>
  </si>
  <si>
    <t>73.2</t>
  </si>
  <si>
    <t>Green</t>
  </si>
  <si>
    <t>71.2</t>
  </si>
  <si>
    <t>Gold</t>
  </si>
  <si>
    <t>68.9</t>
  </si>
  <si>
    <t>Silver</t>
  </si>
  <si>
    <t>65.6</t>
  </si>
  <si>
    <t>Green - Ladies</t>
  </si>
  <si>
    <t>77.3</t>
  </si>
  <si>
    <t>Gold - Ladies</t>
  </si>
  <si>
    <t>74.5</t>
  </si>
  <si>
    <t>Front</t>
  </si>
  <si>
    <t>Bronze</t>
  </si>
  <si>
    <t>Argent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</si>
</sst>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DDDDDD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ck">
        <color rgb="FF00000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vertic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 wrapText="1"/>
    </xf>
    <xf numFmtId="0" fontId="0" fillId="14" borderId="0" xfId="0" applyFill="1" applyAlignment="1">
      <alignment vertical="center" wrapText="1"/>
    </xf>
    <xf numFmtId="0" fontId="21" fillId="0" borderId="4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35</xdr:row>
      <xdr:rowOff>0</xdr:rowOff>
    </xdr:from>
    <xdr:to>
      <xdr:col>4</xdr:col>
      <xdr:colOff>28575</xdr:colOff>
      <xdr:row>35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28575</xdr:colOff>
      <xdr:row>35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28575</xdr:colOff>
      <xdr:row>35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35</xdr:row>
      <xdr:rowOff>0</xdr:rowOff>
    </xdr:from>
    <xdr:to>
      <xdr:col>12</xdr:col>
      <xdr:colOff>28575</xdr:colOff>
      <xdr:row>35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28575</xdr:colOff>
      <xdr:row>35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35</xdr:row>
      <xdr:rowOff>0</xdr:rowOff>
    </xdr:from>
    <xdr:to>
      <xdr:col>14</xdr:col>
      <xdr:colOff>28575</xdr:colOff>
      <xdr:row>35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55"/>
  <sheetViews>
    <sheetView tabSelected="1" topLeftCell="B36" workbookViewId="0">
      <selection activeCell="C48" sqref="C48:Z55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6" t="s">
        <v>10</v>
      </c>
      <c r="D8" s="56">
        <v>405</v>
      </c>
      <c r="E8" s="56">
        <v>370</v>
      </c>
      <c r="F8" s="56">
        <v>120</v>
      </c>
      <c r="G8" s="56">
        <v>362</v>
      </c>
      <c r="H8" s="56">
        <v>385</v>
      </c>
      <c r="I8" s="56">
        <v>304</v>
      </c>
      <c r="J8" s="56">
        <v>120</v>
      </c>
      <c r="K8" s="56">
        <v>167</v>
      </c>
      <c r="L8" s="56">
        <v>402</v>
      </c>
      <c r="M8" s="56">
        <v>2635</v>
      </c>
      <c r="N8" s="56">
        <v>460</v>
      </c>
      <c r="O8" s="56">
        <v>330</v>
      </c>
      <c r="P8" s="56">
        <v>300</v>
      </c>
      <c r="Q8" s="56">
        <v>170</v>
      </c>
      <c r="R8" s="56">
        <v>340</v>
      </c>
      <c r="S8" s="56">
        <v>331</v>
      </c>
      <c r="T8" s="56">
        <v>435</v>
      </c>
      <c r="U8" s="56">
        <v>140</v>
      </c>
      <c r="V8" s="56">
        <v>345</v>
      </c>
      <c r="W8" s="56">
        <v>2851</v>
      </c>
      <c r="X8" s="56">
        <v>5486</v>
      </c>
      <c r="Y8" s="8" t="s">
        <v>12</v>
      </c>
      <c r="Z8" s="8" t="s">
        <v>14</v>
      </c>
    </row>
    <row r="9" spans="2:26" x14ac:dyDescent="0.25">
      <c r="B9">
        <v>36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7" spans="2:26" x14ac:dyDescent="0.25">
      <c r="C27" s="4" t="s">
        <v>6</v>
      </c>
      <c r="D27" s="31">
        <v>4</v>
      </c>
      <c r="E27" s="31">
        <v>4</v>
      </c>
      <c r="F27" s="31">
        <v>4</v>
      </c>
      <c r="G27" s="31">
        <v>4</v>
      </c>
      <c r="H27" s="31">
        <v>3</v>
      </c>
      <c r="I27" s="31">
        <v>5</v>
      </c>
      <c r="J27" s="31">
        <v>4</v>
      </c>
      <c r="K27" s="31">
        <v>4</v>
      </c>
      <c r="L27" s="31">
        <v>4</v>
      </c>
      <c r="M27" s="49">
        <f>SUM(D27:L27)</f>
        <v>36</v>
      </c>
      <c r="N27" s="31">
        <v>4</v>
      </c>
      <c r="O27" s="31">
        <v>3</v>
      </c>
      <c r="P27" s="31">
        <v>5</v>
      </c>
      <c r="Q27" s="31">
        <v>5</v>
      </c>
      <c r="R27" s="31">
        <v>4</v>
      </c>
      <c r="S27" s="31">
        <v>3</v>
      </c>
      <c r="T27" s="31">
        <v>4</v>
      </c>
      <c r="U27" s="31">
        <v>3</v>
      </c>
      <c r="V27" s="31">
        <v>5</v>
      </c>
      <c r="W27" s="49">
        <f>SUM(N27:V27)</f>
        <v>36</v>
      </c>
      <c r="X27" s="49">
        <f>M27+W27</f>
        <v>72</v>
      </c>
    </row>
    <row r="28" spans="2:26" x14ac:dyDescent="0.25">
      <c r="C28" s="15" t="s">
        <v>18</v>
      </c>
      <c r="D28">
        <v>408</v>
      </c>
      <c r="E28">
        <v>375</v>
      </c>
      <c r="F28">
        <v>401</v>
      </c>
      <c r="G28">
        <v>389</v>
      </c>
      <c r="H28">
        <v>204</v>
      </c>
      <c r="I28">
        <v>470</v>
      </c>
      <c r="J28">
        <v>307</v>
      </c>
      <c r="K28">
        <v>345</v>
      </c>
      <c r="L28">
        <v>311</v>
      </c>
      <c r="M28" s="49">
        <f>SUM(D28:L28)</f>
        <v>3210</v>
      </c>
      <c r="N28">
        <v>415</v>
      </c>
      <c r="O28">
        <v>179</v>
      </c>
      <c r="P28">
        <v>589</v>
      </c>
      <c r="Q28">
        <v>555</v>
      </c>
      <c r="R28">
        <v>361</v>
      </c>
      <c r="S28">
        <v>143</v>
      </c>
      <c r="T28">
        <v>360</v>
      </c>
      <c r="U28">
        <v>186</v>
      </c>
      <c r="V28">
        <v>482</v>
      </c>
      <c r="W28" s="49">
        <f>SUM(N28:V28)</f>
        <v>3270</v>
      </c>
      <c r="X28" s="49">
        <f>M28+W28</f>
        <v>6480</v>
      </c>
      <c r="Y28">
        <v>72.400000000000006</v>
      </c>
      <c r="Z28">
        <v>132</v>
      </c>
    </row>
    <row r="29" spans="2:26" ht="15.75" x14ac:dyDescent="0.25">
      <c r="C29" s="14" t="s">
        <v>8</v>
      </c>
      <c r="D29">
        <v>397</v>
      </c>
      <c r="E29">
        <v>348</v>
      </c>
      <c r="F29">
        <v>391</v>
      </c>
      <c r="G29">
        <v>354</v>
      </c>
      <c r="H29">
        <v>195</v>
      </c>
      <c r="I29">
        <v>445</v>
      </c>
      <c r="J29">
        <v>282</v>
      </c>
      <c r="K29">
        <v>332</v>
      </c>
      <c r="L29">
        <v>283</v>
      </c>
      <c r="M29" s="49">
        <f t="shared" ref="M29:M32" si="0">SUM(D29:L29)</f>
        <v>3027</v>
      </c>
      <c r="N29">
        <v>376</v>
      </c>
      <c r="O29">
        <v>161</v>
      </c>
      <c r="P29">
        <v>550</v>
      </c>
      <c r="Q29">
        <v>490</v>
      </c>
      <c r="R29">
        <v>348</v>
      </c>
      <c r="S29">
        <v>143</v>
      </c>
      <c r="T29">
        <v>350</v>
      </c>
      <c r="U29">
        <v>162</v>
      </c>
      <c r="V29">
        <v>472</v>
      </c>
      <c r="W29" s="49">
        <f t="shared" ref="W29:W33" si="1">SUM(N29:V29)</f>
        <v>3052</v>
      </c>
      <c r="X29" s="49">
        <f t="shared" ref="X29:X33" si="2">M29+W29</f>
        <v>6079</v>
      </c>
      <c r="Y29">
        <v>70.099999999999994</v>
      </c>
      <c r="Z29">
        <v>128</v>
      </c>
    </row>
    <row r="30" spans="2:26" x14ac:dyDescent="0.25">
      <c r="C30" s="15" t="s">
        <v>7</v>
      </c>
      <c r="D30">
        <v>386</v>
      </c>
      <c r="E30">
        <v>332</v>
      </c>
      <c r="F30">
        <v>388</v>
      </c>
      <c r="G30">
        <v>268</v>
      </c>
      <c r="H30">
        <v>178</v>
      </c>
      <c r="I30">
        <v>393</v>
      </c>
      <c r="J30">
        <v>271</v>
      </c>
      <c r="K30">
        <v>283</v>
      </c>
      <c r="L30">
        <v>266</v>
      </c>
      <c r="M30" s="49">
        <f t="shared" si="0"/>
        <v>2765</v>
      </c>
      <c r="N30">
        <v>322</v>
      </c>
      <c r="O30">
        <v>139</v>
      </c>
      <c r="P30">
        <v>497</v>
      </c>
      <c r="Q30">
        <v>475</v>
      </c>
      <c r="R30">
        <v>327</v>
      </c>
      <c r="S30">
        <v>138</v>
      </c>
      <c r="T30">
        <v>337</v>
      </c>
      <c r="U30">
        <v>162</v>
      </c>
      <c r="V30">
        <v>457</v>
      </c>
      <c r="W30" s="49">
        <f t="shared" si="1"/>
        <v>2854</v>
      </c>
      <c r="X30" s="49">
        <f t="shared" si="2"/>
        <v>5619</v>
      </c>
      <c r="Y30">
        <v>68.2</v>
      </c>
      <c r="Z30">
        <v>123</v>
      </c>
    </row>
    <row r="31" spans="2:26" ht="15.75" x14ac:dyDescent="0.25">
      <c r="C31" s="14" t="s">
        <v>19</v>
      </c>
      <c r="D31">
        <v>3</v>
      </c>
      <c r="E31">
        <v>9</v>
      </c>
      <c r="F31">
        <v>5</v>
      </c>
      <c r="G31">
        <v>1</v>
      </c>
      <c r="H31">
        <v>11</v>
      </c>
      <c r="I31">
        <v>13</v>
      </c>
      <c r="J31">
        <v>15</v>
      </c>
      <c r="K31">
        <v>7</v>
      </c>
      <c r="L31">
        <v>17</v>
      </c>
      <c r="M31" s="49"/>
      <c r="N31">
        <v>2</v>
      </c>
      <c r="O31">
        <v>16</v>
      </c>
      <c r="P31">
        <v>4</v>
      </c>
      <c r="Q31">
        <v>6</v>
      </c>
      <c r="R31">
        <v>12</v>
      </c>
      <c r="S31">
        <v>18</v>
      </c>
      <c r="T31">
        <v>10</v>
      </c>
      <c r="U31">
        <v>14</v>
      </c>
      <c r="V31">
        <v>8</v>
      </c>
      <c r="W31" s="49"/>
      <c r="X31" s="49"/>
    </row>
    <row r="32" spans="2:26" x14ac:dyDescent="0.25">
      <c r="C32" t="s">
        <v>10</v>
      </c>
      <c r="D32">
        <v>290</v>
      </c>
      <c r="E32">
        <v>297</v>
      </c>
      <c r="F32">
        <v>342</v>
      </c>
      <c r="G32">
        <v>268</v>
      </c>
      <c r="H32">
        <v>161</v>
      </c>
      <c r="I32">
        <v>393</v>
      </c>
      <c r="J32">
        <v>246</v>
      </c>
      <c r="K32">
        <v>283</v>
      </c>
      <c r="L32">
        <v>252</v>
      </c>
      <c r="M32" s="49">
        <f t="shared" si="0"/>
        <v>2532</v>
      </c>
      <c r="N32">
        <v>368</v>
      </c>
      <c r="O32">
        <v>139</v>
      </c>
      <c r="P32">
        <v>456</v>
      </c>
      <c r="Q32">
        <v>390</v>
      </c>
      <c r="R32">
        <v>320</v>
      </c>
      <c r="S32">
        <v>138</v>
      </c>
      <c r="T32">
        <v>303</v>
      </c>
      <c r="U32">
        <v>135</v>
      </c>
      <c r="V32">
        <v>416</v>
      </c>
      <c r="W32" s="49">
        <f t="shared" si="1"/>
        <v>2665</v>
      </c>
      <c r="X32" s="49">
        <f t="shared" si="2"/>
        <v>5197</v>
      </c>
      <c r="Y32">
        <v>70.3</v>
      </c>
      <c r="Z32">
        <v>126</v>
      </c>
    </row>
    <row r="33" spans="3:26" ht="15.75" x14ac:dyDescent="0.25">
      <c r="C33" s="14" t="s">
        <v>9</v>
      </c>
      <c r="D33">
        <v>290</v>
      </c>
      <c r="E33">
        <v>297</v>
      </c>
      <c r="F33">
        <v>342</v>
      </c>
      <c r="G33">
        <v>268</v>
      </c>
      <c r="H33">
        <v>145</v>
      </c>
      <c r="I33">
        <v>393</v>
      </c>
      <c r="J33">
        <v>215</v>
      </c>
      <c r="K33">
        <v>110</v>
      </c>
      <c r="L33">
        <v>225</v>
      </c>
      <c r="M33" s="49">
        <f>SUM(D33:L33)</f>
        <v>2285</v>
      </c>
      <c r="N33">
        <v>368</v>
      </c>
      <c r="O33">
        <v>139</v>
      </c>
      <c r="P33">
        <v>426</v>
      </c>
      <c r="Q33">
        <v>390</v>
      </c>
      <c r="R33">
        <v>225</v>
      </c>
      <c r="S33">
        <v>138</v>
      </c>
      <c r="T33">
        <v>303</v>
      </c>
      <c r="U33">
        <v>135</v>
      </c>
      <c r="V33">
        <v>416</v>
      </c>
      <c r="W33" s="49">
        <f t="shared" si="1"/>
        <v>2540</v>
      </c>
      <c r="X33" s="49">
        <f t="shared" si="2"/>
        <v>4825</v>
      </c>
      <c r="Y33">
        <v>68.7</v>
      </c>
      <c r="Z33">
        <v>107</v>
      </c>
    </row>
    <row r="34" spans="3:26" ht="15.75" x14ac:dyDescent="0.25">
      <c r="C34" s="14" t="s">
        <v>19</v>
      </c>
      <c r="D34">
        <v>9</v>
      </c>
      <c r="E34">
        <v>7</v>
      </c>
      <c r="F34">
        <v>3</v>
      </c>
      <c r="G34">
        <v>17</v>
      </c>
      <c r="H34">
        <v>13</v>
      </c>
      <c r="I34">
        <v>5</v>
      </c>
      <c r="J34">
        <v>11</v>
      </c>
      <c r="K34">
        <v>1</v>
      </c>
      <c r="L34">
        <v>15</v>
      </c>
      <c r="M34" s="49"/>
      <c r="N34">
        <v>10</v>
      </c>
      <c r="O34">
        <v>16</v>
      </c>
      <c r="P34">
        <v>2</v>
      </c>
      <c r="Q34">
        <v>12</v>
      </c>
      <c r="R34">
        <v>8</v>
      </c>
      <c r="S34">
        <v>6</v>
      </c>
      <c r="T34">
        <v>4</v>
      </c>
      <c r="U34">
        <v>18</v>
      </c>
      <c r="V34">
        <v>14</v>
      </c>
      <c r="W34" s="49"/>
    </row>
    <row r="37" spans="3:26" x14ac:dyDescent="0.25">
      <c r="C37" t="s">
        <v>133</v>
      </c>
    </row>
    <row r="38" spans="3:26" ht="30" x14ac:dyDescent="0.25">
      <c r="C38" s="50" t="s">
        <v>134</v>
      </c>
      <c r="D38" s="51" t="s">
        <v>135</v>
      </c>
      <c r="E38" s="51" t="s">
        <v>136</v>
      </c>
      <c r="F38" s="51" t="s">
        <v>5</v>
      </c>
      <c r="G38" s="51" t="s">
        <v>137</v>
      </c>
    </row>
    <row r="39" spans="3:26" x14ac:dyDescent="0.25">
      <c r="C39" s="31" t="s">
        <v>138</v>
      </c>
      <c r="D39" s="31">
        <v>72</v>
      </c>
      <c r="E39" s="31" t="s">
        <v>139</v>
      </c>
      <c r="F39" s="31">
        <v>131</v>
      </c>
      <c r="G39" s="31">
        <v>7258</v>
      </c>
    </row>
    <row r="40" spans="3:26" x14ac:dyDescent="0.25">
      <c r="C40" s="31" t="s">
        <v>140</v>
      </c>
      <c r="D40" s="31">
        <v>72</v>
      </c>
      <c r="E40" s="31" t="s">
        <v>141</v>
      </c>
      <c r="F40" s="31">
        <v>126</v>
      </c>
      <c r="G40" s="31">
        <v>6781</v>
      </c>
    </row>
    <row r="41" spans="3:26" x14ac:dyDescent="0.25">
      <c r="C41" s="31" t="s">
        <v>142</v>
      </c>
      <c r="D41" s="31">
        <v>72</v>
      </c>
      <c r="E41" s="31" t="s">
        <v>143</v>
      </c>
      <c r="F41" s="31">
        <v>122</v>
      </c>
      <c r="G41" s="31">
        <v>6346</v>
      </c>
    </row>
    <row r="42" spans="3:26" x14ac:dyDescent="0.25">
      <c r="C42" s="31" t="s">
        <v>144</v>
      </c>
      <c r="D42" s="31">
        <v>72</v>
      </c>
      <c r="E42" s="31" t="s">
        <v>145</v>
      </c>
      <c r="F42" s="31">
        <v>117</v>
      </c>
      <c r="G42" s="31">
        <v>5851</v>
      </c>
    </row>
    <row r="43" spans="3:26" x14ac:dyDescent="0.25">
      <c r="C43" s="31" t="s">
        <v>146</v>
      </c>
      <c r="D43" s="31">
        <v>74</v>
      </c>
      <c r="E43" s="31" t="s">
        <v>147</v>
      </c>
      <c r="F43" s="31">
        <v>110</v>
      </c>
      <c r="G43" s="31">
        <v>5197</v>
      </c>
    </row>
    <row r="44" spans="3:26" x14ac:dyDescent="0.25">
      <c r="C44" s="31" t="s">
        <v>148</v>
      </c>
      <c r="D44" s="31">
        <v>72</v>
      </c>
      <c r="E44" s="31" t="s">
        <v>149</v>
      </c>
      <c r="F44" s="31">
        <v>132</v>
      </c>
      <c r="G44" s="31">
        <v>6346</v>
      </c>
    </row>
    <row r="45" spans="3:26" x14ac:dyDescent="0.25">
      <c r="C45" s="31" t="s">
        <v>150</v>
      </c>
      <c r="D45" s="31">
        <v>72</v>
      </c>
      <c r="E45" s="31" t="s">
        <v>151</v>
      </c>
      <c r="F45" s="31">
        <v>128</v>
      </c>
      <c r="G45" s="31">
        <v>5851</v>
      </c>
    </row>
    <row r="46" spans="3:26" x14ac:dyDescent="0.25">
      <c r="C46" s="31" t="s">
        <v>152</v>
      </c>
      <c r="D46" s="31">
        <v>1</v>
      </c>
      <c r="E46" s="31">
        <v>2</v>
      </c>
      <c r="F46" s="31">
        <v>3</v>
      </c>
      <c r="G46" s="31">
        <v>4</v>
      </c>
      <c r="H46" s="31">
        <v>5</v>
      </c>
      <c r="I46" s="31">
        <v>6</v>
      </c>
      <c r="J46" s="31">
        <v>7</v>
      </c>
      <c r="K46" s="31">
        <v>8</v>
      </c>
      <c r="L46" s="31">
        <v>9</v>
      </c>
    </row>
    <row r="47" spans="3:26" x14ac:dyDescent="0.25">
      <c r="C47" s="31" t="s">
        <v>11</v>
      </c>
      <c r="D47" s="31">
        <v>421</v>
      </c>
      <c r="E47" s="31">
        <v>495</v>
      </c>
      <c r="F47" s="31">
        <v>241</v>
      </c>
      <c r="G47" s="31">
        <v>479</v>
      </c>
      <c r="H47" s="31">
        <v>525</v>
      </c>
      <c r="I47" s="31">
        <v>416</v>
      </c>
      <c r="J47" s="31">
        <v>322</v>
      </c>
      <c r="K47" s="31">
        <v>214</v>
      </c>
      <c r="L47" s="31">
        <v>556</v>
      </c>
      <c r="M47">
        <f>SUM(D47:L47)</f>
        <v>3669</v>
      </c>
      <c r="N47" s="31">
        <v>536</v>
      </c>
      <c r="O47" s="31">
        <v>339</v>
      </c>
      <c r="P47" s="31">
        <v>203</v>
      </c>
      <c r="Q47" s="31">
        <v>459</v>
      </c>
      <c r="R47" s="31">
        <v>451</v>
      </c>
      <c r="S47" s="31">
        <v>202</v>
      </c>
      <c r="T47" s="31">
        <v>393</v>
      </c>
      <c r="U47" s="31">
        <v>520</v>
      </c>
      <c r="V47" s="31">
        <v>486</v>
      </c>
      <c r="W47">
        <f>SUM(N47:V47)</f>
        <v>3589</v>
      </c>
      <c r="X47">
        <f>M47+W47</f>
        <v>7258</v>
      </c>
      <c r="Y47" s="31" t="s">
        <v>139</v>
      </c>
      <c r="Z47" s="31">
        <v>131</v>
      </c>
    </row>
    <row r="48" spans="3:26" x14ac:dyDescent="0.25">
      <c r="C48" s="31" t="s">
        <v>153</v>
      </c>
      <c r="D48" s="31">
        <v>410</v>
      </c>
      <c r="E48" s="31">
        <v>431</v>
      </c>
      <c r="F48" s="31">
        <v>215</v>
      </c>
      <c r="G48" s="31">
        <v>433</v>
      </c>
      <c r="H48" s="31">
        <v>503</v>
      </c>
      <c r="I48" s="31">
        <v>400</v>
      </c>
      <c r="J48" s="31">
        <v>290</v>
      </c>
      <c r="K48" s="31">
        <v>174</v>
      </c>
      <c r="L48" s="31">
        <v>512</v>
      </c>
      <c r="M48">
        <f t="shared" ref="M48:M54" si="3">SUM(D48:L48)</f>
        <v>3368</v>
      </c>
      <c r="N48" s="31">
        <v>524</v>
      </c>
      <c r="O48" s="31">
        <v>337</v>
      </c>
      <c r="P48" s="31">
        <v>174</v>
      </c>
      <c r="Q48" s="31">
        <v>430</v>
      </c>
      <c r="R48" s="31">
        <v>408</v>
      </c>
      <c r="S48" s="31">
        <v>177</v>
      </c>
      <c r="T48" s="31">
        <v>388</v>
      </c>
      <c r="U48" s="31">
        <v>520</v>
      </c>
      <c r="V48" s="31">
        <v>455</v>
      </c>
      <c r="W48">
        <f t="shared" ref="W48:W54" si="4">SUM(N48:V48)</f>
        <v>3413</v>
      </c>
      <c r="X48">
        <f t="shared" ref="X48:X54" si="5">M48+W48</f>
        <v>6781</v>
      </c>
      <c r="Y48" s="31" t="s">
        <v>141</v>
      </c>
      <c r="Z48" s="31">
        <v>126</v>
      </c>
    </row>
    <row r="49" spans="3:26" ht="15.75" x14ac:dyDescent="0.25">
      <c r="C49" s="14" t="s">
        <v>19</v>
      </c>
      <c r="D49" s="52">
        <v>5</v>
      </c>
      <c r="E49" s="52">
        <v>1</v>
      </c>
      <c r="F49" s="52">
        <v>9</v>
      </c>
      <c r="G49" s="52">
        <v>3</v>
      </c>
      <c r="H49" s="52">
        <v>13</v>
      </c>
      <c r="I49" s="52">
        <v>7</v>
      </c>
      <c r="J49" s="52">
        <v>17</v>
      </c>
      <c r="K49" s="52">
        <v>15</v>
      </c>
      <c r="L49" s="52">
        <v>11</v>
      </c>
      <c r="N49" s="52">
        <v>12</v>
      </c>
      <c r="O49" s="52">
        <v>18</v>
      </c>
      <c r="P49" s="52">
        <v>14</v>
      </c>
      <c r="Q49" s="52">
        <v>4</v>
      </c>
      <c r="R49" s="52">
        <v>6</v>
      </c>
      <c r="S49" s="52">
        <v>16</v>
      </c>
      <c r="T49" s="52">
        <v>8</v>
      </c>
      <c r="U49" s="52">
        <v>10</v>
      </c>
      <c r="V49" s="52">
        <v>2</v>
      </c>
    </row>
    <row r="50" spans="3:26" ht="15.75" thickBot="1" x14ac:dyDescent="0.3">
      <c r="C50" s="4" t="s">
        <v>6</v>
      </c>
      <c r="D50" s="53">
        <v>4</v>
      </c>
      <c r="E50" s="53">
        <v>4</v>
      </c>
      <c r="F50" s="53">
        <v>3</v>
      </c>
      <c r="G50" s="53">
        <v>4</v>
      </c>
      <c r="H50" s="53">
        <v>5</v>
      </c>
      <c r="I50" s="53">
        <v>4</v>
      </c>
      <c r="J50" s="53">
        <v>4</v>
      </c>
      <c r="K50" s="53">
        <v>3</v>
      </c>
      <c r="L50" s="53">
        <v>5</v>
      </c>
      <c r="M50">
        <f t="shared" ref="M50" si="6">SUM(D50:L50)</f>
        <v>36</v>
      </c>
      <c r="N50" s="53">
        <v>5</v>
      </c>
      <c r="O50" s="53">
        <v>4</v>
      </c>
      <c r="P50" s="53">
        <v>3</v>
      </c>
      <c r="Q50" s="53">
        <v>4</v>
      </c>
      <c r="R50" s="53">
        <v>4</v>
      </c>
      <c r="S50" s="53">
        <v>3</v>
      </c>
      <c r="T50" s="53">
        <v>4</v>
      </c>
      <c r="U50" s="53">
        <v>5</v>
      </c>
      <c r="V50" s="53">
        <v>4</v>
      </c>
      <c r="W50">
        <f t="shared" ref="W50" si="7">SUM(N50:V50)</f>
        <v>36</v>
      </c>
      <c r="X50">
        <f t="shared" ref="X50" si="8">M50+W50</f>
        <v>72</v>
      </c>
    </row>
    <row r="51" spans="3:26" ht="15.75" thickTop="1" x14ac:dyDescent="0.25">
      <c r="C51" s="31" t="s">
        <v>10</v>
      </c>
      <c r="D51" s="31">
        <v>395</v>
      </c>
      <c r="E51" s="31">
        <v>412</v>
      </c>
      <c r="F51" s="31">
        <v>183</v>
      </c>
      <c r="G51" s="31">
        <v>416</v>
      </c>
      <c r="H51" s="31">
        <v>483</v>
      </c>
      <c r="I51" s="31">
        <v>389</v>
      </c>
      <c r="J51" s="31">
        <v>274</v>
      </c>
      <c r="K51" s="31">
        <v>167</v>
      </c>
      <c r="L51" s="31">
        <v>476</v>
      </c>
      <c r="M51">
        <f t="shared" si="3"/>
        <v>3195</v>
      </c>
      <c r="N51" s="31">
        <v>506</v>
      </c>
      <c r="O51" s="31">
        <v>321</v>
      </c>
      <c r="P51" s="31">
        <v>155</v>
      </c>
      <c r="Q51" s="31">
        <v>399</v>
      </c>
      <c r="R51" s="31">
        <v>352</v>
      </c>
      <c r="S51" s="31">
        <v>165</v>
      </c>
      <c r="T51" s="31">
        <v>345</v>
      </c>
      <c r="U51" s="31">
        <v>486</v>
      </c>
      <c r="V51" s="31">
        <v>422</v>
      </c>
      <c r="W51">
        <f t="shared" si="4"/>
        <v>3151</v>
      </c>
      <c r="X51">
        <f t="shared" si="5"/>
        <v>6346</v>
      </c>
      <c r="Y51" s="31" t="s">
        <v>143</v>
      </c>
      <c r="Z51" s="31">
        <v>122</v>
      </c>
    </row>
    <row r="52" spans="3:26" x14ac:dyDescent="0.25">
      <c r="C52" s="31" t="s">
        <v>18</v>
      </c>
      <c r="D52" s="31">
        <v>351</v>
      </c>
      <c r="E52" s="31">
        <v>355</v>
      </c>
      <c r="F52" s="31">
        <v>164</v>
      </c>
      <c r="G52" s="31">
        <v>357</v>
      </c>
      <c r="H52" s="31">
        <v>437</v>
      </c>
      <c r="I52" s="31">
        <v>380</v>
      </c>
      <c r="J52" s="31">
        <v>259</v>
      </c>
      <c r="K52" s="31">
        <v>161</v>
      </c>
      <c r="L52" s="31">
        <v>460</v>
      </c>
      <c r="M52">
        <f t="shared" si="3"/>
        <v>2924</v>
      </c>
      <c r="N52" s="31">
        <v>460</v>
      </c>
      <c r="O52" s="31">
        <v>310</v>
      </c>
      <c r="P52" s="31">
        <v>108</v>
      </c>
      <c r="Q52" s="31">
        <v>383</v>
      </c>
      <c r="R52" s="31">
        <v>340</v>
      </c>
      <c r="S52" s="31">
        <v>145</v>
      </c>
      <c r="T52" s="31">
        <v>336</v>
      </c>
      <c r="U52" s="31">
        <v>472</v>
      </c>
      <c r="V52" s="31">
        <v>373</v>
      </c>
      <c r="W52">
        <f t="shared" si="4"/>
        <v>2927</v>
      </c>
      <c r="X52">
        <f t="shared" si="5"/>
        <v>5851</v>
      </c>
      <c r="Y52" s="31" t="s">
        <v>145</v>
      </c>
      <c r="Z52" s="31">
        <v>117</v>
      </c>
    </row>
    <row r="53" spans="3:26" x14ac:dyDescent="0.25">
      <c r="C53" s="31" t="s">
        <v>154</v>
      </c>
      <c r="D53" s="31">
        <v>322</v>
      </c>
      <c r="E53" s="31">
        <v>344</v>
      </c>
      <c r="F53" s="31">
        <v>145</v>
      </c>
      <c r="G53" s="31">
        <v>317</v>
      </c>
      <c r="H53" s="31">
        <v>424</v>
      </c>
      <c r="I53" s="31">
        <v>309</v>
      </c>
      <c r="J53" s="31">
        <v>233</v>
      </c>
      <c r="K53" s="31">
        <v>128</v>
      </c>
      <c r="L53" s="31">
        <v>401</v>
      </c>
      <c r="M53">
        <f t="shared" si="3"/>
        <v>2623</v>
      </c>
      <c r="N53" s="31">
        <v>422</v>
      </c>
      <c r="O53" s="31">
        <v>258</v>
      </c>
      <c r="P53" s="31">
        <v>101</v>
      </c>
      <c r="Q53" s="31">
        <v>306</v>
      </c>
      <c r="R53" s="31">
        <v>292</v>
      </c>
      <c r="S53" s="31">
        <v>141</v>
      </c>
      <c r="T53" s="31">
        <v>308</v>
      </c>
      <c r="U53" s="31">
        <v>404</v>
      </c>
      <c r="V53" s="31">
        <v>342</v>
      </c>
      <c r="W53">
        <f t="shared" si="4"/>
        <v>2574</v>
      </c>
      <c r="X53">
        <f t="shared" si="5"/>
        <v>5197</v>
      </c>
      <c r="Y53" s="31" t="s">
        <v>147</v>
      </c>
      <c r="Z53" s="31">
        <v>110</v>
      </c>
    </row>
    <row r="54" spans="3:26" x14ac:dyDescent="0.25">
      <c r="C54" s="4" t="s">
        <v>6</v>
      </c>
      <c r="D54" s="54">
        <v>4</v>
      </c>
      <c r="E54" s="54">
        <v>4</v>
      </c>
      <c r="F54" s="54">
        <v>3</v>
      </c>
      <c r="G54" s="54">
        <v>4</v>
      </c>
      <c r="H54" s="54">
        <v>5</v>
      </c>
      <c r="I54" s="54">
        <v>4</v>
      </c>
      <c r="J54" s="54">
        <v>4</v>
      </c>
      <c r="K54" s="54">
        <v>3</v>
      </c>
      <c r="L54" s="54">
        <v>5</v>
      </c>
      <c r="M54">
        <f t="shared" si="3"/>
        <v>36</v>
      </c>
      <c r="N54" s="54">
        <v>4</v>
      </c>
      <c r="O54" s="54">
        <v>4</v>
      </c>
      <c r="P54" s="54">
        <v>3</v>
      </c>
      <c r="Q54" s="54">
        <v>4</v>
      </c>
      <c r="R54" s="54">
        <v>4</v>
      </c>
      <c r="S54" s="54">
        <v>3</v>
      </c>
      <c r="T54" s="54">
        <v>4</v>
      </c>
      <c r="U54" s="54">
        <v>5</v>
      </c>
      <c r="V54" s="54">
        <v>4</v>
      </c>
      <c r="W54">
        <f t="shared" si="4"/>
        <v>35</v>
      </c>
      <c r="X54">
        <f t="shared" si="5"/>
        <v>71</v>
      </c>
    </row>
    <row r="55" spans="3:26" ht="15.75" x14ac:dyDescent="0.25">
      <c r="C55" s="14" t="s">
        <v>19</v>
      </c>
      <c r="D55" s="52">
        <v>5</v>
      </c>
      <c r="E55" s="52">
        <v>1</v>
      </c>
      <c r="F55" s="52">
        <v>9</v>
      </c>
      <c r="G55" s="52">
        <v>3</v>
      </c>
      <c r="H55" s="52">
        <v>13</v>
      </c>
      <c r="I55" s="52">
        <v>7</v>
      </c>
      <c r="J55" s="52">
        <v>17</v>
      </c>
      <c r="K55" s="52">
        <v>15</v>
      </c>
      <c r="L55" s="52">
        <v>11</v>
      </c>
      <c r="N55" s="52">
        <v>12</v>
      </c>
      <c r="O55" s="52">
        <v>18</v>
      </c>
      <c r="P55" s="52">
        <v>14</v>
      </c>
      <c r="Q55" s="52">
        <v>4</v>
      </c>
      <c r="R55" s="52">
        <v>6</v>
      </c>
      <c r="S55" s="52">
        <v>16</v>
      </c>
      <c r="T55" s="52">
        <v>8</v>
      </c>
      <c r="U55" s="52">
        <v>19</v>
      </c>
      <c r="V55" s="52">
        <v>2</v>
      </c>
    </row>
  </sheetData>
  <mergeCells count="23"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2019-01-27T22:08:10Z</dcterms:modified>
</cp:coreProperties>
</file>